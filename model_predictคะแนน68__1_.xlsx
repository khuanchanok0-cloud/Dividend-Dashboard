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365cmu-my.sharepoint.com/personal/khwanchanok_cha_cmu_ac_th/Documents/"/>
    </mc:Choice>
  </mc:AlternateContent>
  <xr:revisionPtr revIDLastSave="94" documentId="8_{BBEB6D98-4BD9-40B6-9640-8A2347A76BFB}" xr6:coauthVersionLast="47" xr6:coauthVersionMax="47" xr10:uidLastSave="{9DA3DA19-C372-471A-8C16-99B4949D9C4E}"/>
  <bookViews>
    <workbookView xWindow="-110" yWindow="-110" windowWidth="19420" windowHeight="10300" activeTab="4" xr2:uid="{00000000-000D-0000-FFFF-FFFF00000000}"/>
  </bookViews>
  <sheets>
    <sheet name="สรุปผล" sheetId="1" r:id="rId1"/>
    <sheet name="คะแนนpredict68" sheetId="2" r:id="rId2"/>
    <sheet name="Historical Trends" sheetId="4" r:id="rId3"/>
    <sheet name="ข้อมูล65-68" sheetId="8" r:id="rId4"/>
    <sheet name="F1-F7" sheetId="6" r:id="rId5"/>
  </sheets>
  <definedNames>
    <definedName name="_xlnm._FilterDatabase" localSheetId="2" hidden="1">'Historical Trends'!$A$1:$A$135</definedName>
    <definedName name="_xlnm._FilterDatabase" localSheetId="3" hidden="1">'ข้อมูล65-68'!$A$1:$K$119</definedName>
    <definedName name="_xlnm._FilterDatabase" localSheetId="1" hidden="1">คะแนนpredict68!$A$1:$Q$119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</calcChain>
</file>

<file path=xl/sharedStrings.xml><?xml version="1.0" encoding="utf-8"?>
<sst xmlns="http://schemas.openxmlformats.org/spreadsheetml/2006/main" count="1269" uniqueCount="299">
  <si>
    <t>พยากรณ์คะแนนคุณภาพกำไร ปี 2568 — แยกตามกลุ่มอุตสาหกรรม 9 กลุ่ม</t>
  </si>
  <si>
    <t>X = F1–F7 ของปี t (งบถึงปี 2567 เท่านั้น) → y = คะแนนปี t+1  ·  Train: X ปี 2565–2566  ·  Test: X ปี 2567 → คะแนนปี 2568</t>
  </si>
  <si>
    <t>รายการ</t>
  </si>
  <si>
    <t>ค่า</t>
  </si>
  <si>
    <t>คำอธิบาย</t>
  </si>
  <si>
    <t>การป้องกัน lookahead bias (ข้อกำหนดหลัก)</t>
  </si>
  <si>
    <t>ตัวแปรต้น (X)</t>
  </si>
  <si>
    <t>F1–F7 ปี 2565–2567</t>
  </si>
  <si>
    <t>คำนวณจากงบการเงินปี 2563–2567 เท่านั้น ไม่มีงบปี 2568 อยู่ใน X เลย</t>
  </si>
  <si>
    <t>ตัวแปรตาม (y)</t>
  </si>
  <si>
    <t>คะแนนปี t+1</t>
  </si>
  <si>
    <t>งบปี 2568 ใช้เพียงสร้างเฉลยสำหรับวัดผล ไม่ได้เข้าโมเดลเป็นตัวแปรต้น</t>
  </si>
  <si>
    <t>ปีของ X ชุดฝึก</t>
  </si>
  <si>
    <t>2565, 2566</t>
  </si>
  <si>
    <t>ปีของ X ชุดทดสอบ</t>
  </si>
  <si>
    <t>2567</t>
  </si>
  <si>
    <t>ภาพรวม</t>
  </si>
  <si>
    <t>บริษัททั้งหมด</t>
  </si>
  <si>
    <t>พยากรณ์ได้</t>
  </si>
  <si>
    <t>หลุด 2 ราย (CNT, TRUE) — ขาดคะแนน F ของปี 2567</t>
  </si>
  <si>
    <t>แถวชุดฝึก</t>
  </si>
  <si>
    <t>กลุ่มอุตสาหกรรม</t>
  </si>
  <si>
    <t>8 กลุ่มตามเอกสารเกณฑ์ + PF&amp;REIT</t>
  </si>
  <si>
    <t>ตัวชี้วัดผลการพยากรณ์</t>
  </si>
  <si>
    <t>เป้าหมาย</t>
  </si>
  <si>
    <t>MAE</t>
  </si>
  <si>
    <t>RMSE</t>
  </si>
  <si>
    <t>R²</t>
  </si>
  <si>
    <t>≤5 คะแนน</t>
  </si>
  <si>
    <t>≤2 คะแนน</t>
  </si>
  <si>
    <t>Total score</t>
  </si>
  <si>
    <t>Scorecard score</t>
  </si>
  <si>
    <t>F7 (EQ)</t>
  </si>
  <si>
    <t>เทียบวิธีทายแบบง่าย</t>
  </si>
  <si>
    <t>R² โมเดล</t>
  </si>
  <si>
    <t>R² Baseline</t>
  </si>
  <si>
    <t>R² Naive</t>
  </si>
  <si>
    <t>MAE โมเดล</t>
  </si>
  <si>
    <t>MAE Naive</t>
  </si>
  <si>
    <t>ผลรายกลุ่มอุตสาหกรรม (เรียงจากดีที่สุด)</t>
  </si>
  <si>
    <t>n</t>
  </si>
  <si>
    <t>PF&amp;REIT</t>
  </si>
  <si>
    <t>ธุรกิจการเงิน</t>
  </si>
  <si>
    <t>บริการ</t>
  </si>
  <si>
    <t>สินค้าอุปโภคบริโภค</t>
  </si>
  <si>
    <t>เทคโนโลยี</t>
  </si>
  <si>
    <t>สินค้าอุตสาหกรรม</t>
  </si>
  <si>
    <t>อสังหาริมทรัพย์และก่อสร้าง</t>
  </si>
  <si>
    <t>เกษตรและอุตสาหกรรมอาหาร</t>
  </si>
  <si>
    <t>ทรัพยากร</t>
  </si>
  <si>
    <t>โมเดลรวม เทียบ ฝึกแยกกลุ่ม</t>
  </si>
  <si>
    <t>n train</t>
  </si>
  <si>
    <t>n test</t>
  </si>
  <si>
    <t>MAE รวม</t>
  </si>
  <si>
    <t>MAE แยก</t>
  </si>
  <si>
    <t>R² รวม</t>
  </si>
  <si>
    <t>R² แยก</t>
  </si>
  <si>
    <t>ดีกว่า</t>
  </si>
  <si>
    <t>โมเดลรวม</t>
  </si>
  <si>
    <t>แยกกลุ่ม</t>
  </si>
  <si>
    <t>ข้อสรุป</t>
  </si>
  <si>
    <t>ใช้โมเดลรวม</t>
  </si>
  <si>
    <t>ฝึกแยกกลุ่มแย่กว่า 8 จาก 9 กลุ่ม และการใส่ตัวแปรหุ่นกลุ่มก็ทำให้แย่ลง เพราะข้อมูลฝึกแต่ละกลุ่มมีเพียง 12–30 แถว เทียบกับตัวแปร 7 ตัว</t>
  </si>
  <si>
    <t>สมการที่โมเดลหาได้</t>
  </si>
  <si>
    <t>ตัวแปร</t>
  </si>
  <si>
    <t>F1 (ปี t)</t>
  </si>
  <si>
    <t>F2 (ปี t)</t>
  </si>
  <si>
    <t>F3 (ปี t)</t>
  </si>
  <si>
    <t>F4 (ปี t)</t>
  </si>
  <si>
    <t>F5 (ปี t)</t>
  </si>
  <si>
    <t>F6 (ปี t)</t>
  </si>
  <si>
    <t>F7 (ปี t)</t>
  </si>
  <si>
    <t>ค่าคงที่</t>
  </si>
  <si>
    <t>หมายเหตุการคำนวณ F7 ปี 2568</t>
  </si>
  <si>
    <t>F7 ในชีทคะแนนจริง68</t>
  </si>
  <si>
    <t>เฉลี่ย 6.58 · สูงสุด 77.1</t>
  </si>
  <si>
    <t>ใช้สูตรเดิม 0.35 × CFO Margin ซึ่งให้ค่า 0–77</t>
  </si>
  <si>
    <t>F7 ที่ใช้ในงานนี้</t>
  </si>
  <si>
    <t>เฉลี่ย 0.77 · สูงสุด 10.2</t>
  </si>
  <si>
    <t>คำนวณใหม่ด้วยสูตร EQ ÷ 10 ให้ตรงกับปี 2565–2567 (เฉลี่ย 1.01)</t>
  </si>
  <si>
    <t>Total ปี 2568</t>
  </si>
  <si>
    <t>48.21 → 42.33</t>
  </si>
  <si>
    <t>ปรับตาม F7 ที่คำนวณใหม่</t>
  </si>
  <si>
    <t>บริษัท</t>
  </si>
  <si>
    <t>หมวด</t>
  </si>
  <si>
    <t>Total
จริง 2568</t>
  </si>
  <si>
    <t>คลาดเคลื่อน</t>
  </si>
  <si>
    <t>Scorecard
จริง</t>
  </si>
  <si>
    <t>F7
จริง</t>
  </si>
  <si>
    <t>F1 (67)</t>
  </si>
  <si>
    <t>F2 (67)</t>
  </si>
  <si>
    <t>F3 (67)</t>
  </si>
  <si>
    <t>F4 (67)</t>
  </si>
  <si>
    <t>F5 (67)</t>
  </si>
  <si>
    <t>F6 (67)</t>
  </si>
  <si>
    <t>F7 (67)</t>
  </si>
  <si>
    <t>LHHOTEL</t>
  </si>
  <si>
    <t>-PF&amp;REIT</t>
  </si>
  <si>
    <t>LUXF</t>
  </si>
  <si>
    <t>AMATAR</t>
  </si>
  <si>
    <t>BAREIT</t>
  </si>
  <si>
    <t>FTREIT</t>
  </si>
  <si>
    <t>SSPF</t>
  </si>
  <si>
    <t>WHART</t>
  </si>
  <si>
    <t>AIMIRT</t>
  </si>
  <si>
    <t>ALLY</t>
  </si>
  <si>
    <t>CKP</t>
  </si>
  <si>
    <t>ENERG</t>
  </si>
  <si>
    <t>GUNKUL</t>
  </si>
  <si>
    <t>OR</t>
  </si>
  <si>
    <t>SPCG</t>
  </si>
  <si>
    <t>WHAUP</t>
  </si>
  <si>
    <t>SSP</t>
  </si>
  <si>
    <t>PTG</t>
  </si>
  <si>
    <t>TOP</t>
  </si>
  <si>
    <t>BBGI</t>
  </si>
  <si>
    <t>WP</t>
  </si>
  <si>
    <t>BPP</t>
  </si>
  <si>
    <t>AI</t>
  </si>
  <si>
    <t>BCPG</t>
  </si>
  <si>
    <t>EASTW</t>
  </si>
  <si>
    <t>BGRIM</t>
  </si>
  <si>
    <t>KTB</t>
  </si>
  <si>
    <t>BANK</t>
  </si>
  <si>
    <t>KCAR</t>
  </si>
  <si>
    <t>FIN</t>
  </si>
  <si>
    <t>MFC</t>
  </si>
  <si>
    <t>BLA</t>
  </si>
  <si>
    <t>INSUR</t>
  </si>
  <si>
    <t>BBL</t>
  </si>
  <si>
    <t>LHFG</t>
  </si>
  <si>
    <t>TCAP</t>
  </si>
  <si>
    <t>TTB</t>
  </si>
  <si>
    <t>KBANK</t>
  </si>
  <si>
    <t>AYUD</t>
  </si>
  <si>
    <t>KGI</t>
  </si>
  <si>
    <t>BAM</t>
  </si>
  <si>
    <t>ASK</t>
  </si>
  <si>
    <t>MTI</t>
  </si>
  <si>
    <t>TK</t>
  </si>
  <si>
    <t>SISB</t>
  </si>
  <si>
    <t>PROF</t>
  </si>
  <si>
    <t>KAMART</t>
  </si>
  <si>
    <t>COMM</t>
  </si>
  <si>
    <t>PLANB</t>
  </si>
  <si>
    <t>MEDIA</t>
  </si>
  <si>
    <t>AOT</t>
  </si>
  <si>
    <t>TRANS</t>
  </si>
  <si>
    <t>CPALL</t>
  </si>
  <si>
    <t>MINT</t>
  </si>
  <si>
    <t>TOURISM</t>
  </si>
  <si>
    <t>BDMS</t>
  </si>
  <si>
    <t>HEALTH</t>
  </si>
  <si>
    <t>III</t>
  </si>
  <si>
    <t>CRC</t>
  </si>
  <si>
    <t>SO</t>
  </si>
  <si>
    <t>SHR</t>
  </si>
  <si>
    <t>CMR</t>
  </si>
  <si>
    <t>MAJOR</t>
  </si>
  <si>
    <t>BCH</t>
  </si>
  <si>
    <t>ONEE</t>
  </si>
  <si>
    <t>MCS</t>
  </si>
  <si>
    <t>STEEL</t>
  </si>
  <si>
    <t>ALUCON</t>
  </si>
  <si>
    <t>PKG</t>
  </si>
  <si>
    <t>CSC</t>
  </si>
  <si>
    <t>AKR</t>
  </si>
  <si>
    <t>IMM</t>
  </si>
  <si>
    <t>TMD</t>
  </si>
  <si>
    <t>PCC</t>
  </si>
  <si>
    <t>ACG</t>
  </si>
  <si>
    <t>AUTO</t>
  </si>
  <si>
    <t>TRU</t>
  </si>
  <si>
    <t>UTP</t>
  </si>
  <si>
    <t>PAPER</t>
  </si>
  <si>
    <t>GC</t>
  </si>
  <si>
    <t>PETRO</t>
  </si>
  <si>
    <t>SPG</t>
  </si>
  <si>
    <t>ASEFA</t>
  </si>
  <si>
    <t>BCT</t>
  </si>
  <si>
    <t>IVL</t>
  </si>
  <si>
    <t>2S</t>
  </si>
  <si>
    <t>TTT</t>
  </si>
  <si>
    <t>FASHION</t>
  </si>
  <si>
    <t>ROCK</t>
  </si>
  <si>
    <t>HOME</t>
  </si>
  <si>
    <t>BIZ</t>
  </si>
  <si>
    <t>PERSON</t>
  </si>
  <si>
    <t>KISS</t>
  </si>
  <si>
    <t>KYE</t>
  </si>
  <si>
    <t>JCT</t>
  </si>
  <si>
    <t>TTI</t>
  </si>
  <si>
    <t>MODERN</t>
  </si>
  <si>
    <t>S&amp;J</t>
  </si>
  <si>
    <t>SABINA</t>
  </si>
  <si>
    <t>FTI</t>
  </si>
  <si>
    <t>TOG</t>
  </si>
  <si>
    <t>L&amp;E</t>
  </si>
  <si>
    <t>PG</t>
  </si>
  <si>
    <t>WACOAL</t>
  </si>
  <si>
    <t>PYLON</t>
  </si>
  <si>
    <t>-CONS</t>
  </si>
  <si>
    <t>SEAFCO</t>
  </si>
  <si>
    <t>BKD</t>
  </si>
  <si>
    <t>JR</t>
  </si>
  <si>
    <t>PREB</t>
  </si>
  <si>
    <t>UVAN</t>
  </si>
  <si>
    <t>AGRI</t>
  </si>
  <si>
    <t>LEE</t>
  </si>
  <si>
    <t>TFM</t>
  </si>
  <si>
    <t>GFPT</t>
  </si>
  <si>
    <t>SAUCE</t>
  </si>
  <si>
    <t>FOOD</t>
  </si>
  <si>
    <t>UPOIC</t>
  </si>
  <si>
    <t>SORKON</t>
  </si>
  <si>
    <t>ICHI</t>
  </si>
  <si>
    <t>TVO</t>
  </si>
  <si>
    <t>SAPPE</t>
  </si>
  <si>
    <t>TFMAMA</t>
  </si>
  <si>
    <t>NER</t>
  </si>
  <si>
    <t>TU</t>
  </si>
  <si>
    <t>TIPCO</t>
  </si>
  <si>
    <t>STA</t>
  </si>
  <si>
    <t>HUMAN</t>
  </si>
  <si>
    <t>ICT</t>
  </si>
  <si>
    <t>METCO</t>
  </si>
  <si>
    <t>ETRON</t>
  </si>
  <si>
    <t>ADVANC</t>
  </si>
  <si>
    <t>SYMC</t>
  </si>
  <si>
    <t>BBIK</t>
  </si>
  <si>
    <t>HANA</t>
  </si>
  <si>
    <t>PT</t>
  </si>
  <si>
    <t>TEAM</t>
  </si>
  <si>
    <t>METOO</t>
  </si>
  <si>
    <t>SMT</t>
  </si>
  <si>
    <t>3BBIF</t>
  </si>
  <si>
    <t>MSC</t>
  </si>
  <si>
    <t>DIF</t>
  </si>
  <si>
    <t>GABLE</t>
  </si>
  <si>
    <t>KCE</t>
  </si>
  <si>
    <t>Total
พยากรณ์68</t>
  </si>
  <si>
    <t>Scorecard
พยากรณ์68</t>
  </si>
  <si>
    <t>F7
พยากรณ์68</t>
  </si>
  <si>
    <t>Div Yield (%)2565</t>
  </si>
  <si>
    <t>Div Yield (%)2566</t>
  </si>
  <si>
    <t>Div Yield (%)2567</t>
  </si>
  <si>
    <t>Div Yield (%)2568</t>
  </si>
  <si>
    <t>รายได้รวม 2565</t>
  </si>
  <si>
    <t>CFO 2565</t>
  </si>
  <si>
    <t>CFO 2566</t>
  </si>
  <si>
    <t>CFO 2567</t>
  </si>
  <si>
    <t>รายได้รวม2568</t>
  </si>
  <si>
    <t>รายได้รวม2567</t>
  </si>
  <si>
    <t>รายได้รวม2566</t>
  </si>
  <si>
    <t>Payout ratio (%) — เฉลี่ย 3 ปี</t>
  </si>
  <si>
    <t>DPS CAGR + ปันผลไม่ลด</t>
  </si>
  <si>
    <t>Equity / Assets (%)</t>
  </si>
  <si>
    <t>ค่าเฉลี่ยของ Revenue CAGR และ EPS CAGR</t>
  </si>
  <si>
    <t>ROE (%)</t>
  </si>
  <si>
    <t>D/E (%)</t>
  </si>
  <si>
    <t>EQ Score</t>
  </si>
  <si>
    <t>รายได้รวม2565</t>
  </si>
  <si>
    <t>กำไรสุทธิ 2565</t>
  </si>
  <si>
    <t>EPS (บาท) 2565</t>
  </si>
  <si>
    <t>สินทรัพย์รวม 2565</t>
  </si>
  <si>
    <t>หนี้สินรวม 2565</t>
  </si>
  <si>
    <t>ส่วนของผู้ถือหุ้น 2565</t>
  </si>
  <si>
    <t>ราคาหุ้น (บาท) 2565</t>
  </si>
  <si>
    <t>รายได้รวม 2566</t>
  </si>
  <si>
    <t>กำไรสุทธิ 2566</t>
  </si>
  <si>
    <t>EPS (บาท) 2566</t>
  </si>
  <si>
    <t>สินทรัพย์รวม 2566</t>
  </si>
  <si>
    <t>หนี้สินรวม 2566</t>
  </si>
  <si>
    <t>ส่วนของผู้ถือหุ้น 2566</t>
  </si>
  <si>
    <t>ราคาหุ้น (บาท) 2566</t>
  </si>
  <si>
    <t>รายได้รวม 2567</t>
  </si>
  <si>
    <t>กำไรสุทธิ 2567</t>
  </si>
  <si>
    <t>EPS (บาท) 2567</t>
  </si>
  <si>
    <t>สินทรัพย์รวม 2567</t>
  </si>
  <si>
    <t>หนี้สินรวม 2567</t>
  </si>
  <si>
    <t>ส่วนของผู้ถือหุ้น 2567</t>
  </si>
  <si>
    <t>ราคาหุ้น (บาท) 2567</t>
  </si>
  <si>
    <t>รายได้รวม 2568</t>
  </si>
  <si>
    <t>กำไรสุทธิ 2568</t>
  </si>
  <si>
    <t>EPS (บาท) 2568</t>
  </si>
  <si>
    <t>สินทรัพย์รวม 2568</t>
  </si>
  <si>
    <t>หนี้สินรวม 2568</t>
  </si>
  <si>
    <t>ส่วนของผู้ถือหุ้น 2568</t>
  </si>
  <si>
    <t>ราคาหุ้น (บาท) 2568</t>
  </si>
  <si>
    <t>CFO 2568</t>
  </si>
  <si>
    <t>ปัจจัย</t>
  </si>
  <si>
    <r>
      <t xml:space="preserve">F4 - </t>
    </r>
    <r>
      <rPr>
        <b/>
        <sz val="11.5"/>
        <color rgb="FF000000"/>
        <rFont val="Arial"/>
        <family val="2"/>
      </rPr>
      <t>Growth</t>
    </r>
  </si>
  <si>
    <r>
      <t xml:space="preserve">F5 - </t>
    </r>
    <r>
      <rPr>
        <b/>
        <sz val="11.5"/>
        <color rgb="FF000000"/>
        <rFont val="Arial"/>
        <family val="2"/>
      </rPr>
      <t>Profitability</t>
    </r>
  </si>
  <si>
    <r>
      <t xml:space="preserve">F6 - </t>
    </r>
    <r>
      <rPr>
        <b/>
        <sz val="11.5"/>
        <color rgb="FF000000"/>
        <rFont val="Arial"/>
        <family val="2"/>
      </rPr>
      <t>Risk</t>
    </r>
  </si>
  <si>
    <r>
      <t xml:space="preserve">F3 Strength- </t>
    </r>
    <r>
      <rPr>
        <b/>
        <sz val="11.5"/>
        <color rgb="FF000000"/>
        <rFont val="Arial"/>
        <family val="2"/>
      </rPr>
      <t>Financial Strength</t>
    </r>
  </si>
  <si>
    <r>
      <t xml:space="preserve">F1 Safety - </t>
    </r>
    <r>
      <rPr>
        <b/>
        <sz val="11.5"/>
        <color rgb="FF000000"/>
        <rFont val="Arial"/>
        <family val="2"/>
      </rPr>
      <t>Dividend Safety </t>
    </r>
  </si>
  <si>
    <r>
      <t xml:space="preserve">F2 Track - </t>
    </r>
    <r>
      <rPr>
        <b/>
        <sz val="11.5"/>
        <color rgb="FF000000"/>
        <rFont val="Arial"/>
        <family val="2"/>
      </rPr>
      <t>Dividend Track Record </t>
    </r>
  </si>
  <si>
    <t>ตัวชี้วัด</t>
  </si>
  <si>
    <r>
      <t xml:space="preserve">F7 EQ- </t>
    </r>
    <r>
      <rPr>
        <b/>
        <sz val="11.5"/>
        <color rgb="FF000000"/>
        <rFont val="Arial"/>
        <family val="2"/>
      </rPr>
      <t>Earnings Quality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</si>
</sst>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"/>
    <numFmt numFmtId="167" formatCode="\+0.0000"/>
  </numFmts>
  <fonts count="18"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sz val="10"/>
      <name val="Tahoma"/>
      <family val="2"/>
    </font>
    <font>
      <b/>
      <sz val="14"/>
      <color rgb="FF1F3864"/>
      <name val="Tahoma"/>
      <family val="2"/>
    </font>
    <font>
      <i/>
      <sz val="9"/>
      <color rgb="FF6A6F76"/>
      <name val="Tahoma"/>
      <family val="2"/>
    </font>
    <font>
      <b/>
      <sz val="10"/>
      <color rgb="FF1F3864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1"/>
      <color rgb="FF000000"/>
      <name val="Calibri"/>
      <family val="2"/>
      <charset val="1"/>
      <scheme val="minor"/>
    </font>
    <font>
      <sz val="10"/>
      <color rgb="FF0000FF"/>
      <name val="Arial"/>
      <family val="2"/>
    </font>
    <font>
      <sz val="11"/>
      <color rgb="FF000000"/>
      <name val="Bai Jamjuree"/>
      <family val="2"/>
      <charset val="222"/>
    </font>
    <font>
      <sz val="10"/>
      <color rgb="FF000000"/>
      <name val="Arial"/>
      <family val="2"/>
    </font>
    <font>
      <sz val="11"/>
      <color rgb="FF000000"/>
      <name val="Amasis MT Pro"/>
      <family val="1"/>
    </font>
    <font>
      <sz val="10"/>
      <name val="Amasis MT Pro"/>
      <family val="1"/>
    </font>
    <font>
      <b/>
      <sz val="11"/>
      <color theme="1"/>
      <name val="Calibri"/>
      <family val="2"/>
      <charset val="222"/>
      <scheme val="minor"/>
    </font>
    <font>
      <b/>
      <sz val="11.5"/>
      <color rgb="FF000000"/>
      <name val="Arial"/>
      <family val="2"/>
    </font>
    <font>
      <b/>
      <sz val="11.5"/>
      <color rgb="FF000000"/>
      <name val="Arial"/>
      <family val="2"/>
      <charset val="22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  <fill>
      <patternFill patternType="solid">
        <fgColor rgb="FFD9E2F3"/>
      </patternFill>
    </fill>
    <fill>
      <patternFill patternType="solid">
        <fgColor rgb="FFD5EDDA"/>
      </patternFill>
    </fill>
    <fill>
      <patternFill patternType="solid">
        <fgColor rgb="FFFFF2CC"/>
      </patternFill>
    </fill>
    <fill>
      <patternFill patternType="solid">
        <fgColor rgb="FFF8D7DA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CE6F1"/>
        <bgColor rgb="FFDDEBF7"/>
      </patternFill>
    </fill>
    <fill>
      <patternFill patternType="solid">
        <fgColor rgb="FFDCE6F1"/>
        <bgColor rgb="FF000000"/>
      </patternFill>
    </fill>
    <fill>
      <patternFill patternType="solid">
        <fgColor rgb="FFEBF1DE"/>
        <bgColor rgb="FFF2F2F2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DDEBF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FC6D1"/>
      </left>
      <right style="thin">
        <color rgb="FFBFC6D1"/>
      </right>
      <top style="thin">
        <color rgb="FFBFC6D1"/>
      </top>
      <bottom style="thin">
        <color rgb="FFBFC6D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left" vertical="center"/>
    </xf>
    <xf numFmtId="166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left" vertical="center"/>
    </xf>
    <xf numFmtId="1" fontId="5" fillId="5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left" vertical="center"/>
    </xf>
    <xf numFmtId="1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7" fontId="6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/>
    </xf>
    <xf numFmtId="0" fontId="0" fillId="8" borderId="0" xfId="0" applyFill="1"/>
    <xf numFmtId="164" fontId="2" fillId="8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7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right" vertical="center"/>
    </xf>
    <xf numFmtId="0" fontId="9" fillId="9" borderId="4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center" vertical="center" wrapText="1"/>
    </xf>
    <xf numFmtId="4" fontId="9" fillId="9" borderId="2" xfId="0" applyNumberFormat="1" applyFont="1" applyFill="1" applyBorder="1" applyAlignment="1">
      <alignment horizontal="right" vertical="center"/>
    </xf>
    <xf numFmtId="4" fontId="9" fillId="10" borderId="2" xfId="0" applyNumberFormat="1" applyFont="1" applyFill="1" applyBorder="1" applyAlignment="1">
      <alignment horizontal="right" vertical="center"/>
    </xf>
    <xf numFmtId="4" fontId="9" fillId="10" borderId="2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Alignment="1">
      <alignment readingOrder="1"/>
    </xf>
    <xf numFmtId="0" fontId="7" fillId="9" borderId="5" xfId="0" applyFont="1" applyFill="1" applyBorder="1" applyAlignment="1">
      <alignment horizontal="center" vertical="center" wrapText="1"/>
    </xf>
    <xf numFmtId="4" fontId="9" fillId="9" borderId="4" xfId="0" applyNumberFormat="1" applyFont="1" applyFill="1" applyBorder="1" applyAlignment="1">
      <alignment horizontal="right" vertical="center"/>
    </xf>
    <xf numFmtId="0" fontId="11" fillId="11" borderId="2" xfId="0" applyFont="1" applyFill="1" applyBorder="1" applyAlignment="1">
      <alignment horizontal="right" vertical="center"/>
    </xf>
    <xf numFmtId="0" fontId="11" fillId="11" borderId="2" xfId="0" applyFont="1" applyFill="1" applyBorder="1" applyAlignment="1">
      <alignment horizontal="right" vertical="center" wrapText="1"/>
    </xf>
    <xf numFmtId="4" fontId="11" fillId="12" borderId="2" xfId="0" applyNumberFormat="1" applyFont="1" applyFill="1" applyBorder="1" applyAlignment="1">
      <alignment horizontal="right" vertical="center" wrapText="1"/>
    </xf>
    <xf numFmtId="4" fontId="11" fillId="11" borderId="2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right"/>
    </xf>
    <xf numFmtId="2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0" fontId="0" fillId="13" borderId="0" xfId="0" applyFill="1"/>
    <xf numFmtId="0" fontId="9" fillId="14" borderId="2" xfId="0" applyFont="1" applyFill="1" applyBorder="1" applyAlignment="1">
      <alignment horizontal="right" vertical="center"/>
    </xf>
    <xf numFmtId="4" fontId="9" fillId="14" borderId="2" xfId="0" applyNumberFormat="1" applyFont="1" applyFill="1" applyBorder="1" applyAlignment="1">
      <alignment horizontal="right" vertical="center"/>
    </xf>
    <xf numFmtId="0" fontId="11" fillId="0" borderId="2" xfId="0" applyFont="1" applyBorder="1" applyAlignment="1">
      <alignment horizontal="right" vertical="center" wrapText="1"/>
    </xf>
    <xf numFmtId="0" fontId="9" fillId="9" borderId="2" xfId="0" applyFont="1" applyFill="1" applyBorder="1" applyAlignment="1">
      <alignment horizontal="right" vertical="center" wrapText="1"/>
    </xf>
    <xf numFmtId="0" fontId="4" fillId="0" borderId="0" xfId="0" applyFont="1"/>
    <xf numFmtId="0" fontId="0" fillId="0" borderId="0" xfId="0"/>
    <xf numFmtId="0" fontId="3" fillId="0" borderId="0" xfId="0" applyFont="1"/>
    <xf numFmtId="0" fontId="7" fillId="11" borderId="2" xfId="0" applyFont="1" applyFill="1" applyBorder="1" applyAlignment="1">
      <alignment horizontal="right" vertical="center" wrapText="1"/>
    </xf>
    <xf numFmtId="0" fontId="14" fillId="0" borderId="0" xfId="0" applyFont="1"/>
    <xf numFmtId="0" fontId="17" fillId="16" borderId="6" xfId="0" applyFont="1" applyFill="1" applyBorder="1" applyAlignment="1">
      <alignment horizontal="left" vertical="center"/>
    </xf>
    <xf numFmtId="0" fontId="17" fillId="16" borderId="6" xfId="0" applyFont="1" applyFill="1" applyBorder="1" applyAlignment="1">
      <alignment horizontal="left" vertical="center"/>
    </xf>
    <xf numFmtId="0" fontId="16" fillId="15" borderId="6" xfId="0" applyFont="1" applyFill="1" applyBorder="1" applyAlignment="1">
      <alignment horizontal="left" vertical="center"/>
    </xf>
    <xf numFmtId="0" fontId="14" fillId="15" borderId="6" xfId="0" applyFont="1" applyFill="1" applyBorder="1" applyAlignment="1">
      <alignment horizontal="left" vertical="center"/>
    </xf>
    <xf numFmtId="0" fontId="0" fillId="15" borderId="6" xfId="0" applyFill="1" applyBorder="1" applyAlignment="1">
      <alignment horizontal="left" vertical="center" wrapText="1"/>
    </xf>
    <xf numFmtId="0" fontId="13" fillId="15" borderId="6" xfId="0" applyFont="1" applyFill="1" applyBorder="1" applyAlignment="1">
      <alignment horizontal="left" vertical="center" wrapText="1"/>
    </xf>
    <xf numFmtId="0" fontId="12" fillId="15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82947F-2A61-48FC-B755-A2ED44EE3A5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5054f1d-52d8-4afa-95ee-be0633d06a6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showGridLines="0" topLeftCell="A22" workbookViewId="0">
      <selection activeCell="A17" sqref="A17"/>
    </sheetView>
  </sheetViews>
  <sheetFormatPr defaultRowHeight="14.5"/>
  <cols>
    <col min="1" max="1" width="38" customWidth="1"/>
    <col min="2" max="2" width="20" customWidth="1"/>
    <col min="3" max="3" width="60" customWidth="1"/>
    <col min="4" max="4" width="10" customWidth="1"/>
    <col min="5" max="8" width="11" customWidth="1"/>
  </cols>
  <sheetData>
    <row r="1" spans="1:7" ht="24" customHeight="1">
      <c r="A1" s="74" t="s">
        <v>0</v>
      </c>
      <c r="B1" s="73"/>
      <c r="C1" s="73"/>
      <c r="D1" s="73"/>
      <c r="E1" s="73"/>
      <c r="F1" s="73"/>
      <c r="G1" s="73"/>
    </row>
    <row r="2" spans="1:7">
      <c r="A2" s="72" t="s">
        <v>1</v>
      </c>
      <c r="B2" s="73"/>
      <c r="C2" s="73"/>
      <c r="D2" s="73"/>
      <c r="E2" s="73"/>
      <c r="F2" s="73"/>
      <c r="G2" s="73"/>
    </row>
    <row r="4" spans="1:7" ht="22" customHeight="1">
      <c r="A4" s="1" t="s">
        <v>2</v>
      </c>
      <c r="B4" s="1" t="s">
        <v>3</v>
      </c>
      <c r="C4" s="1" t="s">
        <v>4</v>
      </c>
    </row>
    <row r="5" spans="1:7">
      <c r="A5" s="2" t="s">
        <v>5</v>
      </c>
      <c r="B5" s="3"/>
      <c r="C5" s="3"/>
    </row>
    <row r="6" spans="1:7">
      <c r="A6" s="4" t="s">
        <v>6</v>
      </c>
      <c r="B6" s="5" t="s">
        <v>7</v>
      </c>
      <c r="C6" s="6" t="s">
        <v>8</v>
      </c>
    </row>
    <row r="7" spans="1:7">
      <c r="A7" s="4" t="s">
        <v>9</v>
      </c>
      <c r="B7" s="5" t="s">
        <v>10</v>
      </c>
      <c r="C7" s="6" t="s">
        <v>11</v>
      </c>
    </row>
    <row r="8" spans="1:7">
      <c r="A8" s="7" t="s">
        <v>12</v>
      </c>
      <c r="B8" s="8" t="s">
        <v>13</v>
      </c>
      <c r="C8" s="9"/>
    </row>
    <row r="9" spans="1:7">
      <c r="A9" s="7" t="s">
        <v>14</v>
      </c>
      <c r="B9" s="8" t="s">
        <v>15</v>
      </c>
      <c r="C9" s="9"/>
    </row>
    <row r="10" spans="1:7">
      <c r="A10" s="2" t="s">
        <v>16</v>
      </c>
      <c r="B10" s="3"/>
      <c r="C10" s="3"/>
    </row>
    <row r="11" spans="1:7">
      <c r="A11" s="7" t="s">
        <v>17</v>
      </c>
      <c r="B11" s="10">
        <v>120</v>
      </c>
      <c r="C11" s="9"/>
    </row>
    <row r="12" spans="1:7">
      <c r="A12" s="7" t="s">
        <v>18</v>
      </c>
      <c r="B12" s="10">
        <v>118</v>
      </c>
      <c r="C12" s="9" t="s">
        <v>19</v>
      </c>
    </row>
    <row r="13" spans="1:7">
      <c r="A13" s="7" t="s">
        <v>20</v>
      </c>
      <c r="B13" s="10">
        <v>226</v>
      </c>
      <c r="C13" s="9"/>
    </row>
    <row r="14" spans="1:7">
      <c r="A14" s="7" t="s">
        <v>21</v>
      </c>
      <c r="B14" s="10">
        <v>9</v>
      </c>
      <c r="C14" s="9" t="s">
        <v>22</v>
      </c>
    </row>
    <row r="15" spans="1:7">
      <c r="A15" s="2" t="s">
        <v>23</v>
      </c>
      <c r="B15" s="3"/>
      <c r="C15" s="3"/>
    </row>
    <row r="16" spans="1:7" ht="26" customHeight="1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</row>
    <row r="17" spans="1:6">
      <c r="A17" s="11" t="s">
        <v>30</v>
      </c>
      <c r="B17" s="12">
        <v>4.5117914695646641</v>
      </c>
      <c r="C17" s="12">
        <v>5.5905124602930396</v>
      </c>
      <c r="D17" s="13">
        <v>0.52162908917635908</v>
      </c>
      <c r="E17" s="14">
        <v>0.63559322033898302</v>
      </c>
      <c r="F17" s="14">
        <v>0.2288135593220339</v>
      </c>
    </row>
    <row r="18" spans="1:6">
      <c r="A18" s="11" t="s">
        <v>31</v>
      </c>
      <c r="B18" s="12">
        <v>4.5467931189950868</v>
      </c>
      <c r="C18" s="12">
        <v>5.6378917140434206</v>
      </c>
      <c r="D18" s="13">
        <v>0.52265937865503975</v>
      </c>
      <c r="E18" s="14">
        <v>0.66101694915254239</v>
      </c>
      <c r="F18" s="14">
        <v>0.21186440677966101</v>
      </c>
    </row>
    <row r="19" spans="1:6">
      <c r="A19" s="15" t="s">
        <v>32</v>
      </c>
      <c r="B19" s="16">
        <v>0.5773520459110888</v>
      </c>
      <c r="C19" s="16">
        <v>1.117943668877821</v>
      </c>
      <c r="D19" s="17">
        <v>-6.7424416820056399E-2</v>
      </c>
      <c r="E19" s="18">
        <v>0.99152542372881358</v>
      </c>
      <c r="F19" s="18">
        <v>0.96610169491525422</v>
      </c>
    </row>
    <row r="20" spans="1:6">
      <c r="A20" s="2" t="s">
        <v>33</v>
      </c>
      <c r="B20" s="3"/>
      <c r="C20" s="3"/>
    </row>
    <row r="21" spans="1:6" ht="26" customHeight="1">
      <c r="A21" s="1" t="s">
        <v>24</v>
      </c>
      <c r="B21" s="1" t="s">
        <v>34</v>
      </c>
      <c r="C21" s="1" t="s">
        <v>35</v>
      </c>
      <c r="D21" s="1" t="s">
        <v>36</v>
      </c>
      <c r="E21" s="1" t="s">
        <v>37</v>
      </c>
      <c r="F21" s="1" t="s">
        <v>38</v>
      </c>
    </row>
    <row r="22" spans="1:6">
      <c r="A22" s="7" t="s">
        <v>30</v>
      </c>
      <c r="B22" s="19">
        <v>0.52162908917635908</v>
      </c>
      <c r="C22" s="19">
        <v>-7.6845845077866404E-3</v>
      </c>
      <c r="D22" s="19">
        <v>0.21576240314210379</v>
      </c>
      <c r="E22" s="16">
        <v>4.5117914695646641</v>
      </c>
      <c r="F22" s="16">
        <v>5.8305084745762707</v>
      </c>
    </row>
    <row r="23" spans="1:6">
      <c r="A23" s="7" t="s">
        <v>31</v>
      </c>
      <c r="B23" s="19">
        <v>0.52265937865503975</v>
      </c>
      <c r="C23" s="19">
        <v>-4.9336422786028233E-3</v>
      </c>
      <c r="D23" s="19">
        <v>0.26959916866295652</v>
      </c>
      <c r="E23" s="16">
        <v>4.5467931189950868</v>
      </c>
      <c r="F23" s="16">
        <v>5.6372881355932201</v>
      </c>
    </row>
    <row r="24" spans="1:6">
      <c r="A24" s="7" t="s">
        <v>32</v>
      </c>
      <c r="B24" s="19">
        <v>-6.7424416820056399E-2</v>
      </c>
      <c r="C24" s="19">
        <v>-4.2665432011526061E-3</v>
      </c>
      <c r="D24" s="19">
        <v>-3.572976657890869</v>
      </c>
      <c r="E24" s="16">
        <v>0.5773520459110888</v>
      </c>
      <c r="F24" s="16">
        <v>0.80396133511469914</v>
      </c>
    </row>
    <row r="26" spans="1:6">
      <c r="A26" s="2" t="s">
        <v>39</v>
      </c>
      <c r="B26" s="3"/>
      <c r="C26" s="3"/>
    </row>
    <row r="27" spans="1:6" ht="26" customHeight="1">
      <c r="A27" s="1" t="s">
        <v>21</v>
      </c>
      <c r="B27" s="1" t="s">
        <v>40</v>
      </c>
      <c r="C27" s="1" t="s">
        <v>25</v>
      </c>
      <c r="D27" s="1" t="s">
        <v>26</v>
      </c>
      <c r="E27" s="1" t="s">
        <v>27</v>
      </c>
      <c r="F27" s="1" t="s">
        <v>28</v>
      </c>
    </row>
    <row r="28" spans="1:6">
      <c r="A28" s="20" t="s">
        <v>41</v>
      </c>
      <c r="B28" s="21">
        <v>9</v>
      </c>
      <c r="C28" s="12">
        <v>2.955436571238435</v>
      </c>
      <c r="D28" s="12">
        <v>3.2995928757038091</v>
      </c>
      <c r="E28" s="13">
        <v>0.80120099982483728</v>
      </c>
      <c r="F28" s="14">
        <v>0.88888888888888884</v>
      </c>
    </row>
    <row r="29" spans="1:6">
      <c r="A29" s="20" t="s">
        <v>42</v>
      </c>
      <c r="B29" s="21">
        <v>15</v>
      </c>
      <c r="C29" s="12">
        <v>3.3471795692234418</v>
      </c>
      <c r="D29" s="12">
        <v>4.6155356145188096</v>
      </c>
      <c r="E29" s="13">
        <v>0.70943180001208828</v>
      </c>
      <c r="F29" s="14">
        <v>0.73333333333333328</v>
      </c>
    </row>
    <row r="30" spans="1:6">
      <c r="A30" s="20" t="s">
        <v>43</v>
      </c>
      <c r="B30" s="21">
        <v>15</v>
      </c>
      <c r="C30" s="12">
        <v>4.2901996112739056</v>
      </c>
      <c r="D30" s="12">
        <v>4.8329283755293346</v>
      </c>
      <c r="E30" s="13">
        <v>0.63171904319031258</v>
      </c>
      <c r="F30" s="14">
        <v>0.6</v>
      </c>
    </row>
    <row r="31" spans="1:6">
      <c r="A31" s="22" t="s">
        <v>44</v>
      </c>
      <c r="B31" s="23">
        <v>15</v>
      </c>
      <c r="C31" s="16">
        <v>4.8745453671650179</v>
      </c>
      <c r="D31" s="16">
        <v>6.2732748589575449</v>
      </c>
      <c r="E31" s="19">
        <v>0.40945411980749091</v>
      </c>
      <c r="F31" s="18">
        <v>0.6</v>
      </c>
    </row>
    <row r="32" spans="1:6">
      <c r="A32" s="22" t="s">
        <v>45</v>
      </c>
      <c r="B32" s="23">
        <v>14</v>
      </c>
      <c r="C32" s="16">
        <v>3.9272403041098398</v>
      </c>
      <c r="D32" s="16">
        <v>4.6679514022158708</v>
      </c>
      <c r="E32" s="19">
        <v>0.23256154941311299</v>
      </c>
      <c r="F32" s="18">
        <v>0.7142857142857143</v>
      </c>
    </row>
    <row r="33" spans="1:8">
      <c r="A33" s="22" t="s">
        <v>46</v>
      </c>
      <c r="B33" s="23">
        <v>15</v>
      </c>
      <c r="C33" s="16">
        <v>4.1225028464932851</v>
      </c>
      <c r="D33" s="16">
        <v>5.8125462482797392</v>
      </c>
      <c r="E33" s="19">
        <v>0.20014929241498891</v>
      </c>
      <c r="F33" s="18">
        <v>0.66666666666666663</v>
      </c>
    </row>
    <row r="34" spans="1:8">
      <c r="A34" s="24" t="s">
        <v>47</v>
      </c>
      <c r="B34" s="25">
        <v>5</v>
      </c>
      <c r="C34" s="26">
        <v>4.3767150289762924</v>
      </c>
      <c r="D34" s="26">
        <v>5.1242738010392337</v>
      </c>
      <c r="E34" s="27">
        <v>-0.23859349000080551</v>
      </c>
      <c r="F34" s="28">
        <v>0.8</v>
      </c>
    </row>
    <row r="35" spans="1:8">
      <c r="A35" s="24" t="s">
        <v>48</v>
      </c>
      <c r="B35" s="25">
        <v>15</v>
      </c>
      <c r="C35" s="26">
        <v>6.9473581832143951</v>
      </c>
      <c r="D35" s="26">
        <v>7.5657264576716674</v>
      </c>
      <c r="E35" s="27">
        <v>-0.46586032179267473</v>
      </c>
      <c r="F35" s="28">
        <v>0.33333333333333331</v>
      </c>
    </row>
    <row r="36" spans="1:8">
      <c r="A36" s="24" t="s">
        <v>49</v>
      </c>
      <c r="B36" s="25">
        <v>15</v>
      </c>
      <c r="C36" s="26">
        <v>5.0133827469676424</v>
      </c>
      <c r="D36" s="26">
        <v>5.9330406410169401</v>
      </c>
      <c r="E36" s="27">
        <v>-0.5859468423689842</v>
      </c>
      <c r="F36" s="28">
        <v>0.6</v>
      </c>
    </row>
    <row r="38" spans="1:8">
      <c r="A38" s="2" t="s">
        <v>50</v>
      </c>
      <c r="B38" s="3"/>
      <c r="C38" s="3"/>
    </row>
    <row r="39" spans="1:8" ht="26" customHeight="1">
      <c r="A39" s="1" t="s">
        <v>21</v>
      </c>
      <c r="B39" s="1" t="s">
        <v>51</v>
      </c>
      <c r="C39" s="1" t="s">
        <v>52</v>
      </c>
      <c r="D39" s="1" t="s">
        <v>53</v>
      </c>
      <c r="E39" s="1" t="s">
        <v>54</v>
      </c>
      <c r="F39" s="1" t="s">
        <v>55</v>
      </c>
      <c r="G39" s="1" t="s">
        <v>56</v>
      </c>
      <c r="H39" s="1" t="s">
        <v>57</v>
      </c>
    </row>
    <row r="40" spans="1:8">
      <c r="A40" s="7" t="s">
        <v>41</v>
      </c>
      <c r="B40" s="23">
        <v>16</v>
      </c>
      <c r="C40" s="23">
        <v>9</v>
      </c>
      <c r="D40" s="16">
        <v>2.955436571238435</v>
      </c>
      <c r="E40" s="16">
        <v>4.8654497701483912</v>
      </c>
      <c r="F40" s="19">
        <v>0.80120099982483728</v>
      </c>
      <c r="G40" s="19">
        <v>0.13883720593180909</v>
      </c>
      <c r="H40" s="5" t="s">
        <v>58</v>
      </c>
    </row>
    <row r="41" spans="1:8">
      <c r="A41" s="7" t="s">
        <v>42</v>
      </c>
      <c r="B41" s="23">
        <v>30</v>
      </c>
      <c r="C41" s="23">
        <v>15</v>
      </c>
      <c r="D41" s="16">
        <v>3.3471795692234418</v>
      </c>
      <c r="E41" s="16">
        <v>4.2063994577633252</v>
      </c>
      <c r="F41" s="19">
        <v>0.70943180001208828</v>
      </c>
      <c r="G41" s="19">
        <v>0.65530463658490756</v>
      </c>
      <c r="H41" s="5" t="s">
        <v>58</v>
      </c>
    </row>
    <row r="42" spans="1:8">
      <c r="A42" s="7" t="s">
        <v>43</v>
      </c>
      <c r="B42" s="23">
        <v>27</v>
      </c>
      <c r="C42" s="23">
        <v>15</v>
      </c>
      <c r="D42" s="16">
        <v>4.2901996112739056</v>
      </c>
      <c r="E42" s="16">
        <v>5.4228593888721406</v>
      </c>
      <c r="F42" s="19">
        <v>0.63171904319031258</v>
      </c>
      <c r="G42" s="19">
        <v>0.13332161273993351</v>
      </c>
      <c r="H42" s="5" t="s">
        <v>58</v>
      </c>
    </row>
    <row r="43" spans="1:8">
      <c r="A43" s="7" t="s">
        <v>44</v>
      </c>
      <c r="B43" s="23">
        <v>29</v>
      </c>
      <c r="C43" s="23">
        <v>15</v>
      </c>
      <c r="D43" s="16">
        <v>4.8745453671650179</v>
      </c>
      <c r="E43" s="16">
        <v>6.8137211143173069</v>
      </c>
      <c r="F43" s="19">
        <v>0.40945411980749091</v>
      </c>
      <c r="G43" s="19">
        <v>-0.13285630307116819</v>
      </c>
      <c r="H43" s="5" t="s">
        <v>58</v>
      </c>
    </row>
    <row r="44" spans="1:8">
      <c r="A44" s="7" t="s">
        <v>45</v>
      </c>
      <c r="B44" s="23">
        <v>24</v>
      </c>
      <c r="C44" s="23">
        <v>14</v>
      </c>
      <c r="D44" s="16">
        <v>3.9272403041098398</v>
      </c>
      <c r="E44" s="16">
        <v>5.8673053029357316</v>
      </c>
      <c r="F44" s="19">
        <v>0.23256154941311299</v>
      </c>
      <c r="G44" s="19">
        <v>-0.79034047816072217</v>
      </c>
      <c r="H44" s="5" t="s">
        <v>58</v>
      </c>
    </row>
    <row r="45" spans="1:8">
      <c r="A45" s="7" t="s">
        <v>46</v>
      </c>
      <c r="B45" s="23">
        <v>29</v>
      </c>
      <c r="C45" s="23">
        <v>15</v>
      </c>
      <c r="D45" s="16">
        <v>4.1225028464932851</v>
      </c>
      <c r="E45" s="16">
        <v>4.4416281878599957</v>
      </c>
      <c r="F45" s="19">
        <v>0.20014929241498891</v>
      </c>
      <c r="G45" s="19">
        <v>0.1254859483704589</v>
      </c>
      <c r="H45" s="5" t="s">
        <v>58</v>
      </c>
    </row>
    <row r="46" spans="1:8">
      <c r="A46" s="7" t="s">
        <v>47</v>
      </c>
      <c r="B46" s="23">
        <v>12</v>
      </c>
      <c r="C46" s="23">
        <v>5</v>
      </c>
      <c r="D46" s="16">
        <v>4.3767150289762924</v>
      </c>
      <c r="E46" s="16">
        <v>4.1237351829045918</v>
      </c>
      <c r="F46" s="19">
        <v>-0.23859349000080551</v>
      </c>
      <c r="G46" s="19">
        <v>-0.35554388461771658</v>
      </c>
      <c r="H46" s="5" t="s">
        <v>58</v>
      </c>
    </row>
    <row r="47" spans="1:8">
      <c r="A47" s="7" t="s">
        <v>48</v>
      </c>
      <c r="B47" s="23">
        <v>30</v>
      </c>
      <c r="C47" s="23">
        <v>15</v>
      </c>
      <c r="D47" s="16">
        <v>6.9473581832143951</v>
      </c>
      <c r="E47" s="16">
        <v>7.7191664898588748</v>
      </c>
      <c r="F47" s="19">
        <v>-0.46586032179267473</v>
      </c>
      <c r="G47" s="19">
        <v>-0.98351350364136203</v>
      </c>
      <c r="H47" s="5" t="s">
        <v>58</v>
      </c>
    </row>
    <row r="48" spans="1:8">
      <c r="A48" s="7" t="s">
        <v>49</v>
      </c>
      <c r="B48" s="23">
        <v>29</v>
      </c>
      <c r="C48" s="23">
        <v>15</v>
      </c>
      <c r="D48" s="16">
        <v>5.0133827469676424</v>
      </c>
      <c r="E48" s="16">
        <v>4.1390097332677822</v>
      </c>
      <c r="F48" s="19">
        <v>-0.5859468423689842</v>
      </c>
      <c r="G48" s="19">
        <v>-2.9157252824365099E-2</v>
      </c>
      <c r="H48" s="29" t="s">
        <v>59</v>
      </c>
    </row>
    <row r="49" spans="1:4" ht="23">
      <c r="A49" s="4" t="s">
        <v>60</v>
      </c>
      <c r="B49" s="5" t="s">
        <v>61</v>
      </c>
      <c r="C49" s="6" t="s">
        <v>62</v>
      </c>
    </row>
    <row r="51" spans="1:4">
      <c r="A51" s="2" t="s">
        <v>63</v>
      </c>
      <c r="B51" s="3"/>
      <c r="C51" s="3"/>
    </row>
    <row r="52" spans="1:4" ht="26" customHeight="1">
      <c r="A52" s="1" t="s">
        <v>64</v>
      </c>
      <c r="B52" s="1" t="s">
        <v>30</v>
      </c>
      <c r="C52" s="1" t="s">
        <v>31</v>
      </c>
      <c r="D52" s="1" t="s">
        <v>32</v>
      </c>
    </row>
    <row r="53" spans="1:4">
      <c r="A53" s="7" t="s">
        <v>65</v>
      </c>
      <c r="B53" s="30">
        <v>1.2919856736143529</v>
      </c>
      <c r="C53" s="30">
        <v>1.3597486119517359</v>
      </c>
      <c r="D53" s="30">
        <v>-7.5321572747902424E-2</v>
      </c>
    </row>
    <row r="54" spans="1:4">
      <c r="A54" s="7" t="s">
        <v>66</v>
      </c>
      <c r="B54" s="30">
        <v>-0.22843839683077749</v>
      </c>
      <c r="C54" s="30">
        <v>-0.1913955141244644</v>
      </c>
      <c r="D54" s="30">
        <v>-2.7223360826475081E-2</v>
      </c>
    </row>
    <row r="55" spans="1:4">
      <c r="A55" s="7" t="s">
        <v>67</v>
      </c>
      <c r="B55" s="30">
        <v>-0.52506040406495513</v>
      </c>
      <c r="C55" s="30">
        <v>-0.70460039019414944</v>
      </c>
      <c r="D55" s="30">
        <v>0.23226751266342111</v>
      </c>
    </row>
    <row r="56" spans="1:4">
      <c r="A56" s="7" t="s">
        <v>68</v>
      </c>
      <c r="B56" s="30">
        <v>1.349750978369779</v>
      </c>
      <c r="C56" s="30">
        <v>1.3095573999854551</v>
      </c>
      <c r="D56" s="30">
        <v>4.3599488160771388E-2</v>
      </c>
    </row>
    <row r="57" spans="1:4">
      <c r="A57" s="7" t="s">
        <v>69</v>
      </c>
      <c r="B57" s="30">
        <v>0.73478523795899531</v>
      </c>
      <c r="C57" s="30">
        <v>0.69249964265763364</v>
      </c>
      <c r="D57" s="30">
        <v>5.0561875216122168E-2</v>
      </c>
    </row>
    <row r="58" spans="1:4">
      <c r="A58" s="7" t="s">
        <v>70</v>
      </c>
      <c r="B58" s="30">
        <v>1.797499588431142</v>
      </c>
      <c r="C58" s="30">
        <v>1.871381421684962</v>
      </c>
      <c r="D58" s="30">
        <v>-0.1174882527001731</v>
      </c>
    </row>
    <row r="59" spans="1:4">
      <c r="A59" s="7" t="s">
        <v>71</v>
      </c>
      <c r="B59" s="30">
        <v>0.39589672338097492</v>
      </c>
      <c r="C59" s="30">
        <v>0.30085419624489101</v>
      </c>
      <c r="D59" s="30">
        <v>9.9376677865629218E-2</v>
      </c>
    </row>
    <row r="60" spans="1:4">
      <c r="A60" s="31" t="s">
        <v>72</v>
      </c>
      <c r="B60" s="32">
        <v>11.79968676762577</v>
      </c>
      <c r="C60" s="32">
        <v>11.49107215540303</v>
      </c>
      <c r="D60" s="32">
        <v>0.14916222479330579</v>
      </c>
    </row>
    <row r="62" spans="1:4">
      <c r="A62" s="2" t="s">
        <v>73</v>
      </c>
      <c r="B62" s="3"/>
      <c r="C62" s="3"/>
    </row>
    <row r="63" spans="1:4">
      <c r="A63" s="33" t="s">
        <v>74</v>
      </c>
      <c r="B63" s="34" t="s">
        <v>75</v>
      </c>
      <c r="C63" s="35" t="s">
        <v>76</v>
      </c>
    </row>
    <row r="64" spans="1:4">
      <c r="A64" s="4" t="s">
        <v>77</v>
      </c>
      <c r="B64" s="5" t="s">
        <v>78</v>
      </c>
      <c r="C64" s="6" t="s">
        <v>79</v>
      </c>
    </row>
    <row r="65" spans="1:3">
      <c r="A65" s="7" t="s">
        <v>80</v>
      </c>
      <c r="B65" s="8" t="s">
        <v>81</v>
      </c>
      <c r="C65" s="9" t="s">
        <v>82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9"/>
  <sheetViews>
    <sheetView workbookViewId="0">
      <pane xSplit="1" ySplit="1" topLeftCell="B2" activePane="bottomRight" state="frozen"/>
      <selection pane="topRight"/>
      <selection pane="bottomLeft"/>
      <selection pane="bottomRight" activeCell="E3" sqref="E3"/>
    </sheetView>
  </sheetViews>
  <sheetFormatPr defaultRowHeight="14.5"/>
  <cols>
    <col min="1" max="1" width="11" customWidth="1"/>
    <col min="2" max="2" width="26" customWidth="1"/>
    <col min="3" max="3" width="10.36328125" bestFit="1" customWidth="1"/>
    <col min="4" max="4" width="14.08984375" hidden="1" customWidth="1"/>
    <col min="5" max="5" width="13.36328125" style="44" bestFit="1" customWidth="1"/>
    <col min="6" max="6" width="11" hidden="1" customWidth="1"/>
    <col min="7" max="7" width="14.90625" hidden="1" customWidth="1"/>
    <col min="8" max="8" width="14.90625" style="44" bestFit="1" customWidth="1"/>
    <col min="9" max="9" width="10" hidden="1" customWidth="1"/>
    <col min="10" max="10" width="13.36328125" style="44" bestFit="1" customWidth="1"/>
    <col min="11" max="17" width="8" hidden="1" customWidth="1"/>
  </cols>
  <sheetData>
    <row r="1" spans="1:17" ht="32" customHeight="1">
      <c r="A1" s="1" t="s">
        <v>83</v>
      </c>
      <c r="B1" s="1" t="s">
        <v>21</v>
      </c>
      <c r="C1" s="1" t="s">
        <v>84</v>
      </c>
      <c r="D1" s="1" t="s">
        <v>85</v>
      </c>
      <c r="E1" s="42" t="s">
        <v>240</v>
      </c>
      <c r="F1" s="1" t="s">
        <v>86</v>
      </c>
      <c r="G1" s="1" t="s">
        <v>87</v>
      </c>
      <c r="H1" s="42" t="s">
        <v>241</v>
      </c>
      <c r="I1" s="1" t="s">
        <v>88</v>
      </c>
      <c r="J1" s="42" t="s">
        <v>242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</row>
    <row r="2" spans="1:17">
      <c r="A2" s="7" t="s">
        <v>210</v>
      </c>
      <c r="B2" s="7" t="s">
        <v>48</v>
      </c>
      <c r="C2" s="7" t="s">
        <v>207</v>
      </c>
      <c r="D2" s="36">
        <v>55</v>
      </c>
      <c r="E2" s="43">
        <v>47.69</v>
      </c>
      <c r="F2" s="36">
        <f t="shared" ref="F2:F33" si="0">E2-D2</f>
        <v>-7.3100000000000023</v>
      </c>
      <c r="G2" s="36">
        <v>54.5</v>
      </c>
      <c r="H2" s="43">
        <v>46.91</v>
      </c>
      <c r="I2" s="19">
        <v>0.29089999999999999</v>
      </c>
      <c r="J2" s="45">
        <v>0.6925</v>
      </c>
      <c r="K2" s="37">
        <v>10</v>
      </c>
      <c r="L2" s="37">
        <v>5</v>
      </c>
      <c r="M2" s="37">
        <v>8</v>
      </c>
      <c r="N2" s="37">
        <v>5</v>
      </c>
      <c r="O2" s="37">
        <v>7</v>
      </c>
      <c r="P2" s="37">
        <v>9</v>
      </c>
      <c r="Q2" s="19">
        <v>0.60399999999999998</v>
      </c>
    </row>
    <row r="3" spans="1:17">
      <c r="A3" s="38" t="s">
        <v>222</v>
      </c>
      <c r="B3" s="38" t="s">
        <v>48</v>
      </c>
      <c r="C3" s="38" t="s">
        <v>207</v>
      </c>
      <c r="D3" s="39">
        <v>36</v>
      </c>
      <c r="E3" s="43">
        <v>26.78</v>
      </c>
      <c r="F3" s="39">
        <f t="shared" si="0"/>
        <v>-9.2199999999999989</v>
      </c>
      <c r="G3" s="39">
        <v>35.4</v>
      </c>
      <c r="H3" s="43">
        <v>25.97</v>
      </c>
      <c r="I3" s="40">
        <v>0.17849999999999999</v>
      </c>
      <c r="J3" s="45">
        <v>0.75700000000000001</v>
      </c>
      <c r="K3" s="41">
        <v>2</v>
      </c>
      <c r="L3" s="41">
        <v>3</v>
      </c>
      <c r="M3" s="41">
        <v>5</v>
      </c>
      <c r="N3" s="41">
        <v>3</v>
      </c>
      <c r="O3" s="41">
        <v>4</v>
      </c>
      <c r="P3" s="41">
        <v>5</v>
      </c>
      <c r="Q3" s="40">
        <v>-0.67190000000000005</v>
      </c>
    </row>
    <row r="4" spans="1:17">
      <c r="A4" s="7" t="s">
        <v>206</v>
      </c>
      <c r="B4" s="7" t="s">
        <v>48</v>
      </c>
      <c r="C4" s="7" t="s">
        <v>207</v>
      </c>
      <c r="D4" s="36">
        <v>58</v>
      </c>
      <c r="E4" s="43">
        <v>49.78</v>
      </c>
      <c r="F4" s="36">
        <f t="shared" si="0"/>
        <v>-8.2199999999999989</v>
      </c>
      <c r="G4" s="36">
        <v>56</v>
      </c>
      <c r="H4" s="43">
        <v>49.15</v>
      </c>
      <c r="I4" s="19">
        <v>2.2057000000000002</v>
      </c>
      <c r="J4" s="45">
        <v>0.47360000000000002</v>
      </c>
      <c r="K4" s="37">
        <v>10</v>
      </c>
      <c r="L4" s="37">
        <v>5</v>
      </c>
      <c r="M4" s="37">
        <v>7</v>
      </c>
      <c r="N4" s="37">
        <v>3</v>
      </c>
      <c r="O4" s="37">
        <v>10</v>
      </c>
      <c r="P4" s="37">
        <v>10</v>
      </c>
      <c r="Q4" s="19">
        <v>1.2719</v>
      </c>
    </row>
    <row r="5" spans="1:17">
      <c r="A5" s="38" t="s">
        <v>213</v>
      </c>
      <c r="B5" s="38" t="s">
        <v>48</v>
      </c>
      <c r="C5" s="38" t="s">
        <v>207</v>
      </c>
      <c r="D5" s="39">
        <v>50</v>
      </c>
      <c r="E5" s="43">
        <v>43.84</v>
      </c>
      <c r="F5" s="39">
        <f t="shared" si="0"/>
        <v>-6.1599999999999966</v>
      </c>
      <c r="G5" s="39">
        <v>48.3</v>
      </c>
      <c r="H5" s="43">
        <v>42.66</v>
      </c>
      <c r="I5" s="40">
        <v>1.25</v>
      </c>
      <c r="J5" s="45">
        <v>1.1173</v>
      </c>
      <c r="K5" s="41">
        <v>7</v>
      </c>
      <c r="L5" s="41">
        <v>3</v>
      </c>
      <c r="M5" s="41">
        <v>9</v>
      </c>
      <c r="N5" s="41">
        <v>3</v>
      </c>
      <c r="O5" s="41">
        <v>8</v>
      </c>
      <c r="P5" s="41">
        <v>10</v>
      </c>
      <c r="Q5" s="40">
        <v>1.2699</v>
      </c>
    </row>
    <row r="6" spans="1:17">
      <c r="A6" s="7" t="s">
        <v>208</v>
      </c>
      <c r="B6" s="7" t="s">
        <v>48</v>
      </c>
      <c r="C6" s="7" t="s">
        <v>207</v>
      </c>
      <c r="D6" s="36">
        <v>58</v>
      </c>
      <c r="E6" s="43">
        <v>43.67</v>
      </c>
      <c r="F6" s="36">
        <f t="shared" si="0"/>
        <v>-14.329999999999998</v>
      </c>
      <c r="G6" s="36">
        <v>57.4</v>
      </c>
      <c r="H6" s="43">
        <v>42.09</v>
      </c>
      <c r="I6" s="19">
        <v>0.77210000000000001</v>
      </c>
      <c r="J6" s="45">
        <v>1.5419</v>
      </c>
      <c r="K6" s="37">
        <v>2</v>
      </c>
      <c r="L6" s="37">
        <v>3</v>
      </c>
      <c r="M6" s="37">
        <v>9</v>
      </c>
      <c r="N6" s="37">
        <v>10</v>
      </c>
      <c r="O6" s="37">
        <v>4</v>
      </c>
      <c r="P6" s="37">
        <v>10</v>
      </c>
      <c r="Q6" s="19">
        <v>0.71689999999999998</v>
      </c>
    </row>
    <row r="7" spans="1:17">
      <c r="A7" s="38" t="s">
        <v>209</v>
      </c>
      <c r="B7" s="38" t="s">
        <v>48</v>
      </c>
      <c r="C7" s="38" t="s">
        <v>207</v>
      </c>
      <c r="D7" s="39">
        <v>57</v>
      </c>
      <c r="E7" s="43">
        <v>52.91</v>
      </c>
      <c r="F7" s="39">
        <f t="shared" si="0"/>
        <v>-4.0900000000000034</v>
      </c>
      <c r="G7" s="39">
        <v>56.5</v>
      </c>
      <c r="H7" s="43">
        <v>51.89</v>
      </c>
      <c r="I7" s="40">
        <v>0.9385</v>
      </c>
      <c r="J7" s="45">
        <v>0.90329999999999999</v>
      </c>
      <c r="K7" s="41">
        <v>8</v>
      </c>
      <c r="L7" s="41">
        <v>3</v>
      </c>
      <c r="M7" s="41">
        <v>7</v>
      </c>
      <c r="N7" s="41">
        <v>10</v>
      </c>
      <c r="O7" s="41">
        <v>7</v>
      </c>
      <c r="P7" s="41">
        <v>9</v>
      </c>
      <c r="Q7" s="40">
        <v>0.80430000000000001</v>
      </c>
    </row>
    <row r="8" spans="1:17">
      <c r="A8" s="7" t="s">
        <v>219</v>
      </c>
      <c r="B8" s="7" t="s">
        <v>48</v>
      </c>
      <c r="C8" s="7" t="s">
        <v>207</v>
      </c>
      <c r="D8" s="36">
        <v>48</v>
      </c>
      <c r="E8" s="43">
        <v>43.28</v>
      </c>
      <c r="F8" s="36">
        <f t="shared" si="0"/>
        <v>-4.7199999999999989</v>
      </c>
      <c r="G8" s="36">
        <v>47.4</v>
      </c>
      <c r="H8" s="43">
        <v>42.52</v>
      </c>
      <c r="I8" s="19">
        <v>0.5454</v>
      </c>
      <c r="J8" s="45">
        <v>0.70599999999999996</v>
      </c>
      <c r="K8" s="37">
        <v>9</v>
      </c>
      <c r="L8" s="37">
        <v>3</v>
      </c>
      <c r="M8" s="37">
        <v>5</v>
      </c>
      <c r="N8" s="37">
        <v>5</v>
      </c>
      <c r="O8" s="37">
        <v>10</v>
      </c>
      <c r="P8" s="37">
        <v>5</v>
      </c>
      <c r="Q8" s="19">
        <v>0.1903</v>
      </c>
    </row>
    <row r="9" spans="1:17">
      <c r="A9" s="38" t="s">
        <v>214</v>
      </c>
      <c r="B9" s="38" t="s">
        <v>48</v>
      </c>
      <c r="C9" s="38" t="s">
        <v>212</v>
      </c>
      <c r="D9" s="39">
        <v>50</v>
      </c>
      <c r="E9" s="43">
        <v>42.8</v>
      </c>
      <c r="F9" s="39">
        <f t="shared" si="0"/>
        <v>-7.2000000000000028</v>
      </c>
      <c r="G9" s="39">
        <v>49.4</v>
      </c>
      <c r="H9" s="43">
        <v>42.06</v>
      </c>
      <c r="I9" s="40">
        <v>0.40939999999999999</v>
      </c>
      <c r="J9" s="45">
        <v>0.69550000000000001</v>
      </c>
      <c r="K9" s="41">
        <v>8</v>
      </c>
      <c r="L9" s="41">
        <v>5</v>
      </c>
      <c r="M9" s="41">
        <v>5</v>
      </c>
      <c r="N9" s="41">
        <v>8</v>
      </c>
      <c r="O9" s="41">
        <v>6</v>
      </c>
      <c r="P9" s="41">
        <v>5</v>
      </c>
      <c r="Q9" s="40">
        <v>0.59340000000000004</v>
      </c>
    </row>
    <row r="10" spans="1:17">
      <c r="A10" s="7" t="s">
        <v>215</v>
      </c>
      <c r="B10" s="7" t="s">
        <v>48</v>
      </c>
      <c r="C10" s="7" t="s">
        <v>212</v>
      </c>
      <c r="D10" s="36">
        <v>50</v>
      </c>
      <c r="E10" s="43">
        <v>46.67</v>
      </c>
      <c r="F10" s="36">
        <f t="shared" si="0"/>
        <v>-3.3299999999999983</v>
      </c>
      <c r="G10" s="36">
        <v>48.5</v>
      </c>
      <c r="H10" s="43">
        <v>45.16</v>
      </c>
      <c r="I10" s="19">
        <v>1.4496</v>
      </c>
      <c r="J10" s="45">
        <v>1.605</v>
      </c>
      <c r="K10" s="37">
        <v>4</v>
      </c>
      <c r="L10" s="37">
        <v>10</v>
      </c>
      <c r="M10" s="37">
        <v>9</v>
      </c>
      <c r="N10" s="37">
        <v>10</v>
      </c>
      <c r="O10" s="37">
        <v>9</v>
      </c>
      <c r="P10" s="37">
        <v>9</v>
      </c>
      <c r="Q10" s="19">
        <v>1.0596000000000001</v>
      </c>
    </row>
    <row r="11" spans="1:17">
      <c r="A11" s="38" t="s">
        <v>221</v>
      </c>
      <c r="B11" s="38" t="s">
        <v>48</v>
      </c>
      <c r="C11" s="38" t="s">
        <v>212</v>
      </c>
      <c r="D11" s="39">
        <v>39</v>
      </c>
      <c r="E11" s="43">
        <v>31.48</v>
      </c>
      <c r="F11" s="39">
        <f t="shared" si="0"/>
        <v>-7.52</v>
      </c>
      <c r="G11" s="39">
        <v>38.9</v>
      </c>
      <c r="H11" s="43">
        <v>30.44</v>
      </c>
      <c r="I11" s="40">
        <v>0.4037</v>
      </c>
      <c r="J11" s="45">
        <v>0.95799999999999996</v>
      </c>
      <c r="K11" s="41">
        <v>2</v>
      </c>
      <c r="L11" s="41">
        <v>3</v>
      </c>
      <c r="M11" s="41">
        <v>7</v>
      </c>
      <c r="N11" s="41">
        <v>3</v>
      </c>
      <c r="O11" s="41">
        <v>4</v>
      </c>
      <c r="P11" s="41">
        <v>8</v>
      </c>
      <c r="Q11" s="40">
        <v>0.22320000000000001</v>
      </c>
    </row>
    <row r="12" spans="1:17">
      <c r="A12" s="7" t="s">
        <v>216</v>
      </c>
      <c r="B12" s="7" t="s">
        <v>48</v>
      </c>
      <c r="C12" s="7" t="s">
        <v>212</v>
      </c>
      <c r="D12" s="36">
        <v>50</v>
      </c>
      <c r="E12" s="43">
        <v>40.119999999999997</v>
      </c>
      <c r="F12" s="36">
        <f t="shared" si="0"/>
        <v>-9.8800000000000026</v>
      </c>
      <c r="G12" s="36">
        <v>49</v>
      </c>
      <c r="H12" s="43">
        <v>38.869999999999997</v>
      </c>
      <c r="I12" s="19">
        <v>1.0024999999999999</v>
      </c>
      <c r="J12" s="45">
        <v>1.2021999999999999</v>
      </c>
      <c r="K12" s="37">
        <v>4</v>
      </c>
      <c r="L12" s="37">
        <v>3</v>
      </c>
      <c r="M12" s="37">
        <v>7</v>
      </c>
      <c r="N12" s="37">
        <v>5</v>
      </c>
      <c r="O12" s="37">
        <v>8</v>
      </c>
      <c r="P12" s="37">
        <v>8</v>
      </c>
      <c r="Q12" s="19">
        <v>1.2831999999999999</v>
      </c>
    </row>
    <row r="13" spans="1:17">
      <c r="A13" s="38" t="s">
        <v>211</v>
      </c>
      <c r="B13" s="38" t="s">
        <v>48</v>
      </c>
      <c r="C13" s="38" t="s">
        <v>212</v>
      </c>
      <c r="D13" s="39">
        <v>51</v>
      </c>
      <c r="E13" s="43">
        <v>48.02</v>
      </c>
      <c r="F13" s="39">
        <f t="shared" si="0"/>
        <v>-2.9799999999999969</v>
      </c>
      <c r="G13" s="39">
        <v>48.6</v>
      </c>
      <c r="H13" s="43">
        <v>46.37</v>
      </c>
      <c r="I13" s="40">
        <v>2.2985000000000002</v>
      </c>
      <c r="J13" s="45">
        <v>1.7371000000000001</v>
      </c>
      <c r="K13" s="41">
        <v>5</v>
      </c>
      <c r="L13" s="41">
        <v>8</v>
      </c>
      <c r="M13" s="41">
        <v>10</v>
      </c>
      <c r="N13" s="41">
        <v>8</v>
      </c>
      <c r="O13" s="41">
        <v>10</v>
      </c>
      <c r="P13" s="41">
        <v>10</v>
      </c>
      <c r="Q13" s="40">
        <v>1.8123</v>
      </c>
    </row>
    <row r="14" spans="1:17">
      <c r="A14" s="7" t="s">
        <v>220</v>
      </c>
      <c r="B14" s="7" t="s">
        <v>48</v>
      </c>
      <c r="C14" s="7" t="s">
        <v>212</v>
      </c>
      <c r="D14" s="36">
        <v>42</v>
      </c>
      <c r="E14" s="43">
        <v>32.520000000000003</v>
      </c>
      <c r="F14" s="36">
        <f t="shared" si="0"/>
        <v>-9.4799999999999969</v>
      </c>
      <c r="G14" s="36">
        <v>41.2</v>
      </c>
      <c r="H14" s="43">
        <v>32.200000000000003</v>
      </c>
      <c r="I14" s="19">
        <v>0.31209999999999999</v>
      </c>
      <c r="J14" s="45">
        <v>0.20880000000000001</v>
      </c>
      <c r="K14" s="37">
        <v>8</v>
      </c>
      <c r="L14" s="37">
        <v>3</v>
      </c>
      <c r="M14" s="37">
        <v>3</v>
      </c>
      <c r="N14" s="37">
        <v>3</v>
      </c>
      <c r="O14" s="37">
        <v>4</v>
      </c>
      <c r="P14" s="37">
        <v>3</v>
      </c>
      <c r="Q14" s="19">
        <v>0.66910000000000003</v>
      </c>
    </row>
    <row r="15" spans="1:17">
      <c r="A15" s="38" t="s">
        <v>217</v>
      </c>
      <c r="B15" s="38" t="s">
        <v>48</v>
      </c>
      <c r="C15" s="38" t="s">
        <v>212</v>
      </c>
      <c r="D15" s="39">
        <v>50</v>
      </c>
      <c r="E15" s="43">
        <v>53.05</v>
      </c>
      <c r="F15" s="39">
        <f t="shared" si="0"/>
        <v>3.0499999999999972</v>
      </c>
      <c r="G15" s="39">
        <v>48.9</v>
      </c>
      <c r="H15" s="43">
        <v>51.97</v>
      </c>
      <c r="I15" s="40">
        <v>1.1138999999999999</v>
      </c>
      <c r="J15" s="45">
        <v>1.1109</v>
      </c>
      <c r="K15" s="41">
        <v>8</v>
      </c>
      <c r="L15" s="41">
        <v>10</v>
      </c>
      <c r="M15" s="41">
        <v>8</v>
      </c>
      <c r="N15" s="41">
        <v>10</v>
      </c>
      <c r="O15" s="41">
        <v>10</v>
      </c>
      <c r="P15" s="41">
        <v>9</v>
      </c>
      <c r="Q15" s="40">
        <v>0.94769999999999999</v>
      </c>
    </row>
    <row r="16" spans="1:17">
      <c r="A16" s="7" t="s">
        <v>218</v>
      </c>
      <c r="B16" s="7" t="s">
        <v>48</v>
      </c>
      <c r="C16" s="7" t="s">
        <v>212</v>
      </c>
      <c r="D16" s="36">
        <v>49</v>
      </c>
      <c r="E16" s="43">
        <v>55.71</v>
      </c>
      <c r="F16" s="36">
        <f t="shared" si="0"/>
        <v>6.7100000000000009</v>
      </c>
      <c r="G16" s="36">
        <v>48.1</v>
      </c>
      <c r="H16" s="43">
        <v>54.86</v>
      </c>
      <c r="I16" s="19">
        <v>0.67710000000000004</v>
      </c>
      <c r="J16" s="45">
        <v>0.69679999999999997</v>
      </c>
      <c r="K16" s="37">
        <v>9</v>
      </c>
      <c r="L16" s="37">
        <v>5</v>
      </c>
      <c r="M16" s="37">
        <v>7</v>
      </c>
      <c r="N16" s="37">
        <v>10</v>
      </c>
      <c r="O16" s="37">
        <v>7</v>
      </c>
      <c r="P16" s="37">
        <v>10</v>
      </c>
      <c r="Q16" s="19">
        <v>1.2153</v>
      </c>
    </row>
    <row r="17" spans="1:17">
      <c r="A17" s="38" t="s">
        <v>199</v>
      </c>
      <c r="B17" s="38" t="s">
        <v>44</v>
      </c>
      <c r="C17" s="38" t="s">
        <v>183</v>
      </c>
      <c r="D17" s="39">
        <v>28</v>
      </c>
      <c r="E17" s="43">
        <v>32.36</v>
      </c>
      <c r="F17" s="39">
        <f t="shared" si="0"/>
        <v>4.3599999999999994</v>
      </c>
      <c r="G17" s="39">
        <v>28.3</v>
      </c>
      <c r="H17" s="43">
        <v>31.38</v>
      </c>
      <c r="I17" s="40">
        <v>0.1709</v>
      </c>
      <c r="J17" s="45">
        <v>0.97970000000000002</v>
      </c>
      <c r="K17" s="41">
        <v>2</v>
      </c>
      <c r="L17" s="41">
        <v>10</v>
      </c>
      <c r="M17" s="41">
        <v>9</v>
      </c>
      <c r="N17" s="41">
        <v>3</v>
      </c>
      <c r="O17" s="41">
        <v>4</v>
      </c>
      <c r="P17" s="41">
        <v>10</v>
      </c>
      <c r="Q17" s="40">
        <v>4.9200000000000001E-2</v>
      </c>
    </row>
    <row r="18" spans="1:17">
      <c r="A18" s="7" t="s">
        <v>198</v>
      </c>
      <c r="B18" s="7" t="s">
        <v>44</v>
      </c>
      <c r="C18" s="7" t="s">
        <v>183</v>
      </c>
      <c r="D18" s="36">
        <v>32</v>
      </c>
      <c r="E18" s="43">
        <v>31.36</v>
      </c>
      <c r="F18" s="36">
        <f t="shared" si="0"/>
        <v>-0.64000000000000057</v>
      </c>
      <c r="G18" s="36">
        <v>31.8</v>
      </c>
      <c r="H18" s="43">
        <v>30.62</v>
      </c>
      <c r="I18" s="19">
        <v>0.2999</v>
      </c>
      <c r="J18" s="45">
        <v>0.7288</v>
      </c>
      <c r="K18" s="37">
        <v>2</v>
      </c>
      <c r="L18" s="37">
        <v>10</v>
      </c>
      <c r="M18" s="37">
        <v>9</v>
      </c>
      <c r="N18" s="37">
        <v>3</v>
      </c>
      <c r="O18" s="37">
        <v>4</v>
      </c>
      <c r="P18" s="37">
        <v>10</v>
      </c>
      <c r="Q18" s="19">
        <v>-2.4761000000000002</v>
      </c>
    </row>
    <row r="19" spans="1:17">
      <c r="A19" s="38" t="s">
        <v>191</v>
      </c>
      <c r="B19" s="38" t="s">
        <v>44</v>
      </c>
      <c r="C19" s="38" t="s">
        <v>183</v>
      </c>
      <c r="D19" s="39">
        <v>47</v>
      </c>
      <c r="E19" s="43">
        <v>41.82</v>
      </c>
      <c r="F19" s="39">
        <f t="shared" si="0"/>
        <v>-5.18</v>
      </c>
      <c r="G19" s="39">
        <v>46.5</v>
      </c>
      <c r="H19" s="43">
        <v>41.32</v>
      </c>
      <c r="I19" s="40">
        <v>0.30759999999999998</v>
      </c>
      <c r="J19" s="45">
        <v>0.35589999999999999</v>
      </c>
      <c r="K19" s="41">
        <v>10</v>
      </c>
      <c r="L19" s="41">
        <v>3</v>
      </c>
      <c r="M19" s="41">
        <v>7</v>
      </c>
      <c r="N19" s="41">
        <v>3</v>
      </c>
      <c r="O19" s="41">
        <v>4</v>
      </c>
      <c r="P19" s="41">
        <v>8</v>
      </c>
      <c r="Q19" s="40">
        <v>0.22770000000000001</v>
      </c>
    </row>
    <row r="20" spans="1:17">
      <c r="A20" s="7" t="s">
        <v>194</v>
      </c>
      <c r="B20" s="7" t="s">
        <v>44</v>
      </c>
      <c r="C20" s="7" t="s">
        <v>183</v>
      </c>
      <c r="D20" s="36">
        <v>39</v>
      </c>
      <c r="E20" s="43">
        <v>42.48</v>
      </c>
      <c r="F20" s="36">
        <f t="shared" si="0"/>
        <v>3.4799999999999969</v>
      </c>
      <c r="G20" s="36">
        <v>38.200000000000003</v>
      </c>
      <c r="H20" s="43">
        <v>41.47</v>
      </c>
      <c r="I20" s="19">
        <v>1.0404</v>
      </c>
      <c r="J20" s="45">
        <v>1.0424</v>
      </c>
      <c r="K20" s="37">
        <v>5</v>
      </c>
      <c r="L20" s="37">
        <v>10</v>
      </c>
      <c r="M20" s="37">
        <v>7</v>
      </c>
      <c r="N20" s="37">
        <v>6</v>
      </c>
      <c r="O20" s="37">
        <v>10</v>
      </c>
      <c r="P20" s="37">
        <v>8</v>
      </c>
      <c r="Q20" s="19">
        <v>0.89419999999999999</v>
      </c>
    </row>
    <row r="21" spans="1:17">
      <c r="A21" s="38" t="s">
        <v>182</v>
      </c>
      <c r="B21" s="38" t="s">
        <v>44</v>
      </c>
      <c r="C21" s="38" t="s">
        <v>183</v>
      </c>
      <c r="D21" s="39">
        <v>54</v>
      </c>
      <c r="E21" s="43">
        <v>40.32</v>
      </c>
      <c r="F21" s="39">
        <f t="shared" si="0"/>
        <v>-13.68</v>
      </c>
      <c r="G21" s="39">
        <v>52.7</v>
      </c>
      <c r="H21" s="43">
        <v>38.909999999999997</v>
      </c>
      <c r="I21" s="40">
        <v>0.80649999999999999</v>
      </c>
      <c r="J21" s="45">
        <v>1.4804999999999999</v>
      </c>
      <c r="K21" s="41">
        <v>2</v>
      </c>
      <c r="L21" s="41">
        <v>10</v>
      </c>
      <c r="M21" s="41">
        <v>9</v>
      </c>
      <c r="N21" s="41">
        <v>10</v>
      </c>
      <c r="O21" s="41">
        <v>4</v>
      </c>
      <c r="P21" s="41">
        <v>9</v>
      </c>
      <c r="Q21" s="40">
        <v>0.83499999999999996</v>
      </c>
    </row>
    <row r="22" spans="1:17">
      <c r="A22" s="7" t="s">
        <v>189</v>
      </c>
      <c r="B22" s="7" t="s">
        <v>44</v>
      </c>
      <c r="C22" s="7" t="s">
        <v>185</v>
      </c>
      <c r="D22" s="36">
        <v>50</v>
      </c>
      <c r="E22" s="43">
        <v>47.87</v>
      </c>
      <c r="F22" s="36">
        <f t="shared" si="0"/>
        <v>-2.1300000000000026</v>
      </c>
      <c r="G22" s="36">
        <v>49.7</v>
      </c>
      <c r="H22" s="43">
        <v>46.63</v>
      </c>
      <c r="I22" s="19">
        <v>0.30919999999999997</v>
      </c>
      <c r="J22" s="45">
        <v>1.2282</v>
      </c>
      <c r="K22" s="37">
        <v>7</v>
      </c>
      <c r="L22" s="37">
        <v>5</v>
      </c>
      <c r="M22" s="37">
        <v>9</v>
      </c>
      <c r="N22" s="37">
        <v>10</v>
      </c>
      <c r="O22" s="37">
        <v>4</v>
      </c>
      <c r="P22" s="37">
        <v>9</v>
      </c>
      <c r="Q22" s="19">
        <v>0.71589999999999998</v>
      </c>
    </row>
    <row r="23" spans="1:17">
      <c r="A23" s="38" t="s">
        <v>184</v>
      </c>
      <c r="B23" s="38" t="s">
        <v>44</v>
      </c>
      <c r="C23" s="38" t="s">
        <v>185</v>
      </c>
      <c r="D23" s="39">
        <v>53</v>
      </c>
      <c r="E23" s="43">
        <v>41.29</v>
      </c>
      <c r="F23" s="39">
        <f t="shared" si="0"/>
        <v>-11.71</v>
      </c>
      <c r="G23" s="39">
        <v>52.3</v>
      </c>
      <c r="H23" s="43">
        <v>40.93</v>
      </c>
      <c r="I23" s="40">
        <v>0.23119999999999999</v>
      </c>
      <c r="J23" s="45">
        <v>0.33600000000000002</v>
      </c>
      <c r="K23" s="41">
        <v>9</v>
      </c>
      <c r="L23" s="41">
        <v>10</v>
      </c>
      <c r="M23" s="41">
        <v>5</v>
      </c>
      <c r="N23" s="41">
        <v>8</v>
      </c>
      <c r="O23" s="41">
        <v>4</v>
      </c>
      <c r="P23" s="41">
        <v>5</v>
      </c>
      <c r="Q23" s="40">
        <v>0.12139999999999999</v>
      </c>
    </row>
    <row r="24" spans="1:17">
      <c r="A24" s="7" t="s">
        <v>192</v>
      </c>
      <c r="B24" s="7" t="s">
        <v>44</v>
      </c>
      <c r="C24" s="7" t="s">
        <v>185</v>
      </c>
      <c r="D24" s="36">
        <v>44</v>
      </c>
      <c r="E24" s="43">
        <v>41.09</v>
      </c>
      <c r="F24" s="36">
        <f t="shared" si="0"/>
        <v>-2.9099999999999966</v>
      </c>
      <c r="G24" s="36">
        <v>44</v>
      </c>
      <c r="H24" s="43">
        <v>39.729999999999997</v>
      </c>
      <c r="I24" s="19">
        <v>0.42470000000000002</v>
      </c>
      <c r="J24" s="45">
        <v>1.3048999999999999</v>
      </c>
      <c r="K24" s="37">
        <v>2</v>
      </c>
      <c r="L24" s="37">
        <v>3</v>
      </c>
      <c r="M24" s="37">
        <v>7</v>
      </c>
      <c r="N24" s="37">
        <v>10</v>
      </c>
      <c r="O24" s="37">
        <v>4</v>
      </c>
      <c r="P24" s="37">
        <v>8</v>
      </c>
      <c r="Q24" s="19">
        <v>0.64219999999999999</v>
      </c>
    </row>
    <row r="25" spans="1:17">
      <c r="A25" s="38" t="s">
        <v>197</v>
      </c>
      <c r="B25" s="38" t="s">
        <v>44</v>
      </c>
      <c r="C25" s="38" t="s">
        <v>185</v>
      </c>
      <c r="D25" s="39">
        <v>34</v>
      </c>
      <c r="E25" s="43">
        <v>25.39</v>
      </c>
      <c r="F25" s="39">
        <f t="shared" si="0"/>
        <v>-8.61</v>
      </c>
      <c r="G25" s="39">
        <v>35</v>
      </c>
      <c r="H25" s="43">
        <v>24.51</v>
      </c>
      <c r="I25" s="40">
        <v>-0.73429999999999995</v>
      </c>
      <c r="J25" s="45">
        <v>0.81759999999999999</v>
      </c>
      <c r="K25" s="41">
        <v>2</v>
      </c>
      <c r="L25" s="41">
        <v>3</v>
      </c>
      <c r="M25" s="41">
        <v>3</v>
      </c>
      <c r="N25" s="41">
        <v>3</v>
      </c>
      <c r="O25" s="41">
        <v>4</v>
      </c>
      <c r="P25" s="41">
        <v>3</v>
      </c>
      <c r="Q25" s="40">
        <v>2.2475000000000001</v>
      </c>
    </row>
    <row r="26" spans="1:17">
      <c r="A26" s="7" t="s">
        <v>195</v>
      </c>
      <c r="B26" s="7" t="s">
        <v>44</v>
      </c>
      <c r="C26" s="7" t="s">
        <v>185</v>
      </c>
      <c r="D26" s="36">
        <v>38</v>
      </c>
      <c r="E26" s="43">
        <v>40.97</v>
      </c>
      <c r="F26" s="36">
        <f t="shared" si="0"/>
        <v>2.9699999999999989</v>
      </c>
      <c r="G26" s="36">
        <v>37.799999999999997</v>
      </c>
      <c r="H26" s="43">
        <v>40.1</v>
      </c>
      <c r="I26" s="19">
        <v>0.48559999999999998</v>
      </c>
      <c r="J26" s="45">
        <v>0.86029999999999995</v>
      </c>
      <c r="K26" s="37">
        <v>6</v>
      </c>
      <c r="L26" s="37">
        <v>9</v>
      </c>
      <c r="M26" s="37">
        <v>8</v>
      </c>
      <c r="N26" s="37">
        <v>5</v>
      </c>
      <c r="O26" s="37">
        <v>6</v>
      </c>
      <c r="P26" s="37">
        <v>9</v>
      </c>
      <c r="Q26" s="19">
        <v>0.86480000000000001</v>
      </c>
    </row>
    <row r="27" spans="1:17">
      <c r="A27" s="38" t="s">
        <v>186</v>
      </c>
      <c r="B27" s="38" t="s">
        <v>44</v>
      </c>
      <c r="C27" s="38" t="s">
        <v>187</v>
      </c>
      <c r="D27" s="39">
        <v>53</v>
      </c>
      <c r="E27" s="43">
        <v>44.01</v>
      </c>
      <c r="F27" s="39">
        <f t="shared" si="0"/>
        <v>-8.990000000000002</v>
      </c>
      <c r="G27" s="39">
        <v>52.4</v>
      </c>
      <c r="H27" s="43">
        <v>42.56</v>
      </c>
      <c r="I27" s="40">
        <v>0.7006</v>
      </c>
      <c r="J27" s="45">
        <v>1.4382999999999999</v>
      </c>
      <c r="K27" s="41">
        <v>2</v>
      </c>
      <c r="L27" s="41">
        <v>3</v>
      </c>
      <c r="M27" s="41">
        <v>6</v>
      </c>
      <c r="N27" s="41">
        <v>10</v>
      </c>
      <c r="O27" s="41">
        <v>10</v>
      </c>
      <c r="P27" s="41">
        <v>7</v>
      </c>
      <c r="Q27" s="40">
        <v>8.7400000000000005E-2</v>
      </c>
    </row>
    <row r="28" spans="1:17">
      <c r="A28" s="7" t="s">
        <v>190</v>
      </c>
      <c r="B28" s="7" t="s">
        <v>44</v>
      </c>
      <c r="C28" s="7" t="s">
        <v>187</v>
      </c>
      <c r="D28" s="36">
        <v>50</v>
      </c>
      <c r="E28" s="43">
        <v>48.56</v>
      </c>
      <c r="F28" s="36">
        <f t="shared" si="0"/>
        <v>-1.4399999999999977</v>
      </c>
      <c r="G28" s="36">
        <v>49.9</v>
      </c>
      <c r="H28" s="43">
        <v>47.65</v>
      </c>
      <c r="I28" s="19">
        <v>0.39589999999999997</v>
      </c>
      <c r="J28" s="45">
        <v>0.90610000000000002</v>
      </c>
      <c r="K28" s="37">
        <v>8</v>
      </c>
      <c r="L28" s="37">
        <v>10</v>
      </c>
      <c r="M28" s="37">
        <v>9</v>
      </c>
      <c r="N28" s="37">
        <v>8</v>
      </c>
      <c r="O28" s="37">
        <v>6</v>
      </c>
      <c r="P28" s="37">
        <v>10</v>
      </c>
      <c r="Q28" s="19">
        <v>0.64429999999999998</v>
      </c>
    </row>
    <row r="29" spans="1:17">
      <c r="A29" s="38" t="s">
        <v>196</v>
      </c>
      <c r="B29" s="38" t="s">
        <v>44</v>
      </c>
      <c r="C29" s="38" t="s">
        <v>187</v>
      </c>
      <c r="D29" s="39">
        <v>38</v>
      </c>
      <c r="E29" s="43">
        <v>43.2</v>
      </c>
      <c r="F29" s="39">
        <f t="shared" si="0"/>
        <v>5.2000000000000028</v>
      </c>
      <c r="G29" s="39">
        <v>38.1</v>
      </c>
      <c r="H29" s="43">
        <v>42.45</v>
      </c>
      <c r="I29" s="40">
        <v>0.39939999999999998</v>
      </c>
      <c r="J29" s="45">
        <v>0.73140000000000005</v>
      </c>
      <c r="K29" s="41">
        <v>7</v>
      </c>
      <c r="L29" s="41">
        <v>9</v>
      </c>
      <c r="M29" s="41">
        <v>6</v>
      </c>
      <c r="N29" s="41">
        <v>6</v>
      </c>
      <c r="O29" s="41">
        <v>9</v>
      </c>
      <c r="P29" s="41">
        <v>7</v>
      </c>
      <c r="Q29" s="40">
        <v>0.67049999999999998</v>
      </c>
    </row>
    <row r="30" spans="1:17">
      <c r="A30" s="7" t="s">
        <v>193</v>
      </c>
      <c r="B30" s="7" t="s">
        <v>44</v>
      </c>
      <c r="C30" s="7" t="s">
        <v>187</v>
      </c>
      <c r="D30" s="36">
        <v>40</v>
      </c>
      <c r="E30" s="43">
        <v>41.25</v>
      </c>
      <c r="F30" s="36">
        <f t="shared" si="0"/>
        <v>1.25</v>
      </c>
      <c r="G30" s="36">
        <v>39.700000000000003</v>
      </c>
      <c r="H30" s="43">
        <v>40.61</v>
      </c>
      <c r="I30" s="19">
        <v>0.5262</v>
      </c>
      <c r="J30" s="45">
        <v>0.61650000000000005</v>
      </c>
      <c r="K30" s="37">
        <v>8</v>
      </c>
      <c r="L30" s="37">
        <v>10</v>
      </c>
      <c r="M30" s="37">
        <v>8</v>
      </c>
      <c r="N30" s="37">
        <v>3</v>
      </c>
      <c r="O30" s="37">
        <v>7</v>
      </c>
      <c r="P30" s="37">
        <v>9</v>
      </c>
      <c r="Q30" s="19">
        <v>0.57010000000000005</v>
      </c>
    </row>
    <row r="31" spans="1:17">
      <c r="A31" s="38" t="s">
        <v>188</v>
      </c>
      <c r="B31" s="38" t="s">
        <v>44</v>
      </c>
      <c r="C31" s="38" t="s">
        <v>187</v>
      </c>
      <c r="D31" s="39">
        <v>51</v>
      </c>
      <c r="E31" s="43">
        <v>50.42</v>
      </c>
      <c r="F31" s="39">
        <f t="shared" si="0"/>
        <v>-0.57999999999999829</v>
      </c>
      <c r="G31" s="39">
        <v>50.5</v>
      </c>
      <c r="H31" s="43">
        <v>49.16</v>
      </c>
      <c r="I31" s="40">
        <v>0.86209999999999998</v>
      </c>
      <c r="J31" s="45">
        <v>1.2021999999999999</v>
      </c>
      <c r="K31" s="41">
        <v>7</v>
      </c>
      <c r="L31" s="41">
        <v>3</v>
      </c>
      <c r="M31" s="41">
        <v>8</v>
      </c>
      <c r="N31" s="41">
        <v>9</v>
      </c>
      <c r="O31" s="41">
        <v>8</v>
      </c>
      <c r="P31" s="41">
        <v>9</v>
      </c>
      <c r="Q31" s="40">
        <v>0.64680000000000004</v>
      </c>
    </row>
    <row r="32" spans="1:17">
      <c r="A32" s="7" t="s">
        <v>132</v>
      </c>
      <c r="B32" s="7" t="s">
        <v>42</v>
      </c>
      <c r="C32" s="7" t="s">
        <v>123</v>
      </c>
      <c r="D32" s="36">
        <v>43</v>
      </c>
      <c r="E32" s="43">
        <v>34.9</v>
      </c>
      <c r="F32" s="36">
        <f t="shared" si="0"/>
        <v>-8.1000000000000014</v>
      </c>
      <c r="G32" s="36">
        <v>41.5</v>
      </c>
      <c r="H32" s="43">
        <v>34.9</v>
      </c>
      <c r="I32" s="19">
        <v>1.9697</v>
      </c>
      <c r="J32" s="45">
        <v>-4.9700000000000001E-2</v>
      </c>
      <c r="K32" s="37">
        <v>10</v>
      </c>
      <c r="L32" s="37">
        <v>10</v>
      </c>
      <c r="M32" s="37">
        <v>3</v>
      </c>
      <c r="N32" s="37">
        <v>3</v>
      </c>
      <c r="O32" s="37">
        <v>6</v>
      </c>
      <c r="P32" s="37">
        <v>3</v>
      </c>
      <c r="Q32" s="19">
        <v>0.48380000000000001</v>
      </c>
    </row>
    <row r="33" spans="1:17">
      <c r="A33" s="38" t="s">
        <v>129</v>
      </c>
      <c r="B33" s="38" t="s">
        <v>42</v>
      </c>
      <c r="C33" s="38" t="s">
        <v>123</v>
      </c>
      <c r="D33" s="39">
        <v>46</v>
      </c>
      <c r="E33" s="43">
        <v>44.32</v>
      </c>
      <c r="F33" s="39">
        <f t="shared" si="0"/>
        <v>-1.6799999999999997</v>
      </c>
      <c r="G33" s="39">
        <v>44.8</v>
      </c>
      <c r="H33" s="43">
        <v>44.05</v>
      </c>
      <c r="I33" s="40">
        <v>0.95369999999999999</v>
      </c>
      <c r="J33" s="45">
        <v>0.2482</v>
      </c>
      <c r="K33" s="41">
        <v>10</v>
      </c>
      <c r="L33" s="41">
        <v>10</v>
      </c>
      <c r="M33" s="41">
        <v>3</v>
      </c>
      <c r="N33" s="41">
        <v>10</v>
      </c>
      <c r="O33" s="41">
        <v>6</v>
      </c>
      <c r="P33" s="41">
        <v>3</v>
      </c>
      <c r="Q33" s="40">
        <v>0.41020000000000001</v>
      </c>
    </row>
    <row r="34" spans="1:17">
      <c r="A34" s="7" t="s">
        <v>133</v>
      </c>
      <c r="B34" s="7" t="s">
        <v>42</v>
      </c>
      <c r="C34" s="7" t="s">
        <v>123</v>
      </c>
      <c r="D34" s="36">
        <v>42</v>
      </c>
      <c r="E34" s="43">
        <v>41.72</v>
      </c>
      <c r="F34" s="36">
        <f t="shared" ref="F34:F65" si="1">E34-D34</f>
        <v>-0.28000000000000114</v>
      </c>
      <c r="G34" s="36">
        <v>40.700000000000003</v>
      </c>
      <c r="H34" s="43">
        <v>41.51</v>
      </c>
      <c r="I34" s="19">
        <v>1.6324000000000001</v>
      </c>
      <c r="J34" s="45">
        <v>0.18659999999999999</v>
      </c>
      <c r="K34" s="37">
        <v>10</v>
      </c>
      <c r="L34" s="37">
        <v>10</v>
      </c>
      <c r="M34" s="37">
        <v>3</v>
      </c>
      <c r="N34" s="37">
        <v>8</v>
      </c>
      <c r="O34" s="37">
        <v>6</v>
      </c>
      <c r="P34" s="37">
        <v>3</v>
      </c>
      <c r="Q34" s="19">
        <v>0.66810000000000003</v>
      </c>
    </row>
    <row r="35" spans="1:17">
      <c r="A35" s="38" t="s">
        <v>131</v>
      </c>
      <c r="B35" s="38" t="s">
        <v>42</v>
      </c>
      <c r="C35" s="38" t="s">
        <v>123</v>
      </c>
      <c r="D35" s="39">
        <v>44</v>
      </c>
      <c r="E35" s="43">
        <v>44.12</v>
      </c>
      <c r="F35" s="39">
        <f t="shared" si="1"/>
        <v>0.11999999999999744</v>
      </c>
      <c r="G35" s="39">
        <v>43.9</v>
      </c>
      <c r="H35" s="43">
        <v>43.42</v>
      </c>
      <c r="I35" s="40">
        <v>-5.0900000000000001E-2</v>
      </c>
      <c r="J35" s="45">
        <v>0.68810000000000004</v>
      </c>
      <c r="K35" s="41">
        <v>8</v>
      </c>
      <c r="L35" s="41">
        <v>8</v>
      </c>
      <c r="M35" s="41">
        <v>5</v>
      </c>
      <c r="N35" s="41">
        <v>9</v>
      </c>
      <c r="O35" s="41">
        <v>7</v>
      </c>
      <c r="P35" s="41">
        <v>5</v>
      </c>
      <c r="Q35" s="40">
        <v>0.39360000000000001</v>
      </c>
    </row>
    <row r="36" spans="1:17">
      <c r="A36" s="7" t="s">
        <v>122</v>
      </c>
      <c r="B36" s="7" t="s">
        <v>42</v>
      </c>
      <c r="C36" s="7" t="s">
        <v>123</v>
      </c>
      <c r="D36" s="36">
        <v>49</v>
      </c>
      <c r="E36" s="43">
        <v>45.37</v>
      </c>
      <c r="F36" s="36">
        <f t="shared" si="1"/>
        <v>-3.6300000000000026</v>
      </c>
      <c r="G36" s="36">
        <v>46.9</v>
      </c>
      <c r="H36" s="43">
        <v>44.98</v>
      </c>
      <c r="I36" s="19">
        <v>1.6444000000000001</v>
      </c>
      <c r="J36" s="45">
        <v>0.37780000000000002</v>
      </c>
      <c r="K36" s="37">
        <v>10</v>
      </c>
      <c r="L36" s="37">
        <v>10</v>
      </c>
      <c r="M36" s="37">
        <v>3</v>
      </c>
      <c r="N36" s="37">
        <v>10</v>
      </c>
      <c r="O36" s="37">
        <v>7</v>
      </c>
      <c r="P36" s="37">
        <v>3</v>
      </c>
      <c r="Q36" s="19">
        <v>1.2057</v>
      </c>
    </row>
    <row r="37" spans="1:17">
      <c r="A37" s="38" t="s">
        <v>130</v>
      </c>
      <c r="B37" s="38" t="s">
        <v>42</v>
      </c>
      <c r="C37" s="38" t="s">
        <v>123</v>
      </c>
      <c r="D37" s="39">
        <v>45</v>
      </c>
      <c r="E37" s="43">
        <v>44.06</v>
      </c>
      <c r="F37" s="39">
        <f t="shared" si="1"/>
        <v>-0.93999999999999773</v>
      </c>
      <c r="G37" s="39">
        <v>44.2</v>
      </c>
      <c r="H37" s="43">
        <v>43.69</v>
      </c>
      <c r="I37" s="40">
        <v>0.58699999999999997</v>
      </c>
      <c r="J37" s="45">
        <v>0.26719999999999999</v>
      </c>
      <c r="K37" s="41">
        <v>10</v>
      </c>
      <c r="L37" s="41">
        <v>3</v>
      </c>
      <c r="M37" s="41">
        <v>3</v>
      </c>
      <c r="N37" s="41">
        <v>9</v>
      </c>
      <c r="O37" s="41">
        <v>6</v>
      </c>
      <c r="P37" s="41">
        <v>3</v>
      </c>
      <c r="Q37" s="40">
        <v>-0.87719999999999998</v>
      </c>
    </row>
    <row r="38" spans="1:17">
      <c r="A38" s="7" t="s">
        <v>137</v>
      </c>
      <c r="B38" s="7" t="s">
        <v>42</v>
      </c>
      <c r="C38" s="7" t="s">
        <v>125</v>
      </c>
      <c r="D38" s="36">
        <v>30</v>
      </c>
      <c r="E38" s="43">
        <v>29.98</v>
      </c>
      <c r="F38" s="36">
        <f t="shared" si="1"/>
        <v>-1.9999999999999574E-2</v>
      </c>
      <c r="G38" s="36">
        <v>24.9</v>
      </c>
      <c r="H38" s="43">
        <v>29.12</v>
      </c>
      <c r="I38" s="19">
        <v>4.7851999999999997</v>
      </c>
      <c r="J38" s="45">
        <v>0.82930000000000004</v>
      </c>
      <c r="K38" s="37">
        <v>4</v>
      </c>
      <c r="L38" s="37">
        <v>5</v>
      </c>
      <c r="M38" s="37">
        <v>3</v>
      </c>
      <c r="N38" s="37">
        <v>3</v>
      </c>
      <c r="O38" s="37">
        <v>7</v>
      </c>
      <c r="P38" s="37">
        <v>3</v>
      </c>
      <c r="Q38" s="19">
        <v>2.9026000000000001</v>
      </c>
    </row>
    <row r="39" spans="1:17">
      <c r="A39" s="38" t="s">
        <v>126</v>
      </c>
      <c r="B39" s="38" t="s">
        <v>42</v>
      </c>
      <c r="C39" s="38" t="s">
        <v>125</v>
      </c>
      <c r="D39" s="39">
        <v>47</v>
      </c>
      <c r="E39" s="43">
        <v>45.95</v>
      </c>
      <c r="F39" s="39">
        <f t="shared" si="1"/>
        <v>-1.0499999999999972</v>
      </c>
      <c r="G39" s="39">
        <v>47</v>
      </c>
      <c r="H39" s="43">
        <v>44.49</v>
      </c>
      <c r="I39" s="40">
        <v>0.16389999999999999</v>
      </c>
      <c r="J39" s="45">
        <v>1.4418</v>
      </c>
      <c r="K39" s="41">
        <v>4</v>
      </c>
      <c r="L39" s="41">
        <v>3</v>
      </c>
      <c r="M39" s="41">
        <v>8</v>
      </c>
      <c r="N39" s="41">
        <v>8</v>
      </c>
      <c r="O39" s="41">
        <v>9</v>
      </c>
      <c r="P39" s="41">
        <v>9</v>
      </c>
      <c r="Q39" s="40">
        <v>0.7147</v>
      </c>
    </row>
    <row r="40" spans="1:17">
      <c r="A40" s="7" t="s">
        <v>124</v>
      </c>
      <c r="B40" s="7" t="s">
        <v>42</v>
      </c>
      <c r="C40" s="7" t="s">
        <v>125</v>
      </c>
      <c r="D40" s="36">
        <v>49</v>
      </c>
      <c r="E40" s="43">
        <v>46.37</v>
      </c>
      <c r="F40" s="36">
        <f t="shared" si="1"/>
        <v>-2.6300000000000026</v>
      </c>
      <c r="G40" s="36">
        <v>47</v>
      </c>
      <c r="H40" s="43">
        <v>44.8</v>
      </c>
      <c r="I40" s="19">
        <v>1.9854000000000001</v>
      </c>
      <c r="J40" s="45">
        <v>1.5469999999999999</v>
      </c>
      <c r="K40" s="37">
        <v>4</v>
      </c>
      <c r="L40" s="37">
        <v>3</v>
      </c>
      <c r="M40" s="37">
        <v>8</v>
      </c>
      <c r="N40" s="37">
        <v>8</v>
      </c>
      <c r="O40" s="37">
        <v>9</v>
      </c>
      <c r="P40" s="37">
        <v>9</v>
      </c>
      <c r="Q40" s="19">
        <v>1.7735000000000001</v>
      </c>
    </row>
    <row r="41" spans="1:17">
      <c r="A41" s="38" t="s">
        <v>139</v>
      </c>
      <c r="B41" s="38" t="s">
        <v>42</v>
      </c>
      <c r="C41" s="38" t="s">
        <v>125</v>
      </c>
      <c r="D41" s="39">
        <v>23</v>
      </c>
      <c r="E41" s="43">
        <v>26.81</v>
      </c>
      <c r="F41" s="39">
        <f t="shared" si="1"/>
        <v>3.8099999999999987</v>
      </c>
      <c r="G41" s="39">
        <v>22</v>
      </c>
      <c r="H41" s="43">
        <v>25.82</v>
      </c>
      <c r="I41" s="40">
        <v>1.2767999999999999</v>
      </c>
      <c r="J41" s="45">
        <v>0.96550000000000002</v>
      </c>
      <c r="K41" s="41">
        <v>2</v>
      </c>
      <c r="L41" s="41">
        <v>5</v>
      </c>
      <c r="M41" s="41">
        <v>3</v>
      </c>
      <c r="N41" s="41">
        <v>3</v>
      </c>
      <c r="O41" s="41">
        <v>6</v>
      </c>
      <c r="P41" s="41">
        <v>3</v>
      </c>
      <c r="Q41" s="40">
        <v>3.2660999999999998</v>
      </c>
    </row>
    <row r="42" spans="1:17">
      <c r="A42" s="7" t="s">
        <v>135</v>
      </c>
      <c r="B42" s="7" t="s">
        <v>42</v>
      </c>
      <c r="C42" s="7" t="s">
        <v>125</v>
      </c>
      <c r="D42" s="36">
        <v>34</v>
      </c>
      <c r="E42" s="43">
        <v>33.369999999999997</v>
      </c>
      <c r="F42" s="36">
        <f t="shared" si="1"/>
        <v>-0.63000000000000256</v>
      </c>
      <c r="G42" s="36">
        <v>32.4</v>
      </c>
      <c r="H42" s="43">
        <v>32.51</v>
      </c>
      <c r="I42" s="19">
        <v>1.2817000000000001</v>
      </c>
      <c r="J42" s="45">
        <v>0.81120000000000003</v>
      </c>
      <c r="K42" s="37">
        <v>5</v>
      </c>
      <c r="L42" s="37">
        <v>3</v>
      </c>
      <c r="M42" s="37">
        <v>5</v>
      </c>
      <c r="N42" s="37">
        <v>3</v>
      </c>
      <c r="O42" s="37">
        <v>7</v>
      </c>
      <c r="P42" s="37">
        <v>5</v>
      </c>
      <c r="Q42" s="19">
        <v>0.62050000000000005</v>
      </c>
    </row>
    <row r="43" spans="1:17">
      <c r="A43" s="38" t="s">
        <v>136</v>
      </c>
      <c r="B43" s="38" t="s">
        <v>42</v>
      </c>
      <c r="C43" s="38" t="s">
        <v>125</v>
      </c>
      <c r="D43" s="39">
        <v>32</v>
      </c>
      <c r="E43" s="43">
        <v>28.54</v>
      </c>
      <c r="F43" s="39">
        <f t="shared" si="1"/>
        <v>-3.4600000000000009</v>
      </c>
      <c r="G43" s="39">
        <v>30.3</v>
      </c>
      <c r="H43" s="43">
        <v>28.04</v>
      </c>
      <c r="I43" s="40">
        <v>1.3098000000000001</v>
      </c>
      <c r="J43" s="45">
        <v>0.40920000000000001</v>
      </c>
      <c r="K43" s="41">
        <v>5</v>
      </c>
      <c r="L43" s="41">
        <v>3</v>
      </c>
      <c r="M43" s="41">
        <v>3</v>
      </c>
      <c r="N43" s="41">
        <v>3</v>
      </c>
      <c r="O43" s="41">
        <v>4</v>
      </c>
      <c r="P43" s="41">
        <v>3</v>
      </c>
      <c r="Q43" s="40">
        <v>0.41170000000000001</v>
      </c>
    </row>
    <row r="44" spans="1:17">
      <c r="A44" s="7" t="s">
        <v>138</v>
      </c>
      <c r="B44" s="7" t="s">
        <v>42</v>
      </c>
      <c r="C44" s="7" t="s">
        <v>128</v>
      </c>
      <c r="D44" s="36">
        <v>24</v>
      </c>
      <c r="E44" s="43">
        <v>30.13</v>
      </c>
      <c r="F44" s="36">
        <f t="shared" si="1"/>
        <v>6.129999999999999</v>
      </c>
      <c r="G44" s="36">
        <v>24</v>
      </c>
      <c r="H44" s="43">
        <v>29.4</v>
      </c>
      <c r="I44" s="19">
        <v>0.28100000000000003</v>
      </c>
      <c r="J44" s="45">
        <v>0.67110000000000003</v>
      </c>
      <c r="K44" s="37">
        <v>4</v>
      </c>
      <c r="L44" s="37">
        <v>3</v>
      </c>
      <c r="M44" s="37">
        <v>3</v>
      </c>
      <c r="N44" s="37">
        <v>3</v>
      </c>
      <c r="O44" s="37">
        <v>8</v>
      </c>
      <c r="P44" s="37">
        <v>3</v>
      </c>
      <c r="Q44" s="19">
        <v>0.25459999999999999</v>
      </c>
    </row>
    <row r="45" spans="1:17">
      <c r="A45" s="38" t="s">
        <v>134</v>
      </c>
      <c r="B45" s="38" t="s">
        <v>42</v>
      </c>
      <c r="C45" s="38" t="s">
        <v>128</v>
      </c>
      <c r="D45" s="39">
        <v>37</v>
      </c>
      <c r="E45" s="43">
        <v>29.98</v>
      </c>
      <c r="F45" s="39">
        <f t="shared" si="1"/>
        <v>-7.02</v>
      </c>
      <c r="G45" s="39">
        <v>36.4</v>
      </c>
      <c r="H45" s="43">
        <v>28.83</v>
      </c>
      <c r="I45" s="40">
        <v>0.2306</v>
      </c>
      <c r="J45" s="45">
        <v>1.1469</v>
      </c>
      <c r="K45" s="41">
        <v>2</v>
      </c>
      <c r="L45" s="41">
        <v>5</v>
      </c>
      <c r="M45" s="41">
        <v>6</v>
      </c>
      <c r="N45" s="41">
        <v>3</v>
      </c>
      <c r="O45" s="41">
        <v>6</v>
      </c>
      <c r="P45" s="41">
        <v>6</v>
      </c>
      <c r="Q45" s="40">
        <v>1.627</v>
      </c>
    </row>
    <row r="46" spans="1:17">
      <c r="A46" s="7" t="s">
        <v>127</v>
      </c>
      <c r="B46" s="7" t="s">
        <v>42</v>
      </c>
      <c r="C46" s="7" t="s">
        <v>128</v>
      </c>
      <c r="D46" s="36">
        <v>47</v>
      </c>
      <c r="E46" s="43">
        <v>36.26</v>
      </c>
      <c r="F46" s="36">
        <f t="shared" si="1"/>
        <v>-10.740000000000002</v>
      </c>
      <c r="G46" s="36">
        <v>46.7</v>
      </c>
      <c r="H46" s="43">
        <v>36.06</v>
      </c>
      <c r="I46" s="19">
        <v>6.4199999999999993E-2</v>
      </c>
      <c r="J46" s="45">
        <v>8.1000000000000003E-2</v>
      </c>
      <c r="K46" s="37">
        <v>10</v>
      </c>
      <c r="L46" s="37">
        <v>3</v>
      </c>
      <c r="M46" s="37">
        <v>3</v>
      </c>
      <c r="N46" s="37">
        <v>3</v>
      </c>
      <c r="O46" s="37">
        <v>6</v>
      </c>
      <c r="P46" s="37">
        <v>3</v>
      </c>
      <c r="Q46" s="19">
        <v>-0.1188</v>
      </c>
    </row>
    <row r="47" spans="1:17">
      <c r="A47" s="38" t="s">
        <v>172</v>
      </c>
      <c r="B47" s="38" t="s">
        <v>46</v>
      </c>
      <c r="C47" s="38" t="s">
        <v>171</v>
      </c>
      <c r="D47" s="39">
        <v>44</v>
      </c>
      <c r="E47" s="43">
        <v>43.74</v>
      </c>
      <c r="F47" s="39">
        <f t="shared" si="1"/>
        <v>-0.25999999999999801</v>
      </c>
      <c r="G47" s="39">
        <v>43.7</v>
      </c>
      <c r="H47" s="43">
        <v>42.79</v>
      </c>
      <c r="I47" s="40">
        <v>0.52659999999999996</v>
      </c>
      <c r="J47" s="45">
        <v>0.88649999999999995</v>
      </c>
      <c r="K47" s="41">
        <v>8</v>
      </c>
      <c r="L47" s="41">
        <v>5</v>
      </c>
      <c r="M47" s="41">
        <v>9</v>
      </c>
      <c r="N47" s="41">
        <v>3</v>
      </c>
      <c r="O47" s="41">
        <v>7</v>
      </c>
      <c r="P47" s="41">
        <v>10</v>
      </c>
      <c r="Q47" s="40">
        <v>0.76290000000000002</v>
      </c>
    </row>
    <row r="48" spans="1:17">
      <c r="A48" s="7" t="s">
        <v>177</v>
      </c>
      <c r="B48" s="7" t="s">
        <v>46</v>
      </c>
      <c r="C48" s="7" t="s">
        <v>171</v>
      </c>
      <c r="D48" s="36">
        <v>39</v>
      </c>
      <c r="E48" s="43">
        <v>37.799999999999997</v>
      </c>
      <c r="F48" s="36">
        <f t="shared" si="1"/>
        <v>-1.2000000000000028</v>
      </c>
      <c r="G48" s="36">
        <v>38.5</v>
      </c>
      <c r="H48" s="43">
        <v>36.36</v>
      </c>
      <c r="I48" s="19">
        <v>0.63249999999999995</v>
      </c>
      <c r="J48" s="45">
        <v>1.4326000000000001</v>
      </c>
      <c r="K48" s="37">
        <v>4</v>
      </c>
      <c r="L48" s="37">
        <v>3</v>
      </c>
      <c r="M48" s="37">
        <v>10</v>
      </c>
      <c r="N48" s="37">
        <v>3</v>
      </c>
      <c r="O48" s="37">
        <v>6</v>
      </c>
      <c r="P48" s="37">
        <v>10</v>
      </c>
      <c r="Q48" s="19">
        <v>0.84970000000000001</v>
      </c>
    </row>
    <row r="49" spans="1:17">
      <c r="A49" s="38" t="s">
        <v>170</v>
      </c>
      <c r="B49" s="38" t="s">
        <v>46</v>
      </c>
      <c r="C49" s="38" t="s">
        <v>171</v>
      </c>
      <c r="D49" s="39">
        <v>45</v>
      </c>
      <c r="E49" s="43">
        <v>41.86</v>
      </c>
      <c r="F49" s="39">
        <f t="shared" si="1"/>
        <v>-3.1400000000000006</v>
      </c>
      <c r="G49" s="39">
        <v>44.9</v>
      </c>
      <c r="H49" s="43">
        <v>41.12</v>
      </c>
      <c r="I49" s="40">
        <v>0.21690000000000001</v>
      </c>
      <c r="J49" s="45">
        <v>0.65369999999999995</v>
      </c>
      <c r="K49" s="41">
        <v>9</v>
      </c>
      <c r="L49" s="41">
        <v>3</v>
      </c>
      <c r="M49" s="41">
        <v>6</v>
      </c>
      <c r="N49" s="41">
        <v>6</v>
      </c>
      <c r="O49" s="41">
        <v>4</v>
      </c>
      <c r="P49" s="41">
        <v>6</v>
      </c>
      <c r="Q49" s="40">
        <v>1.1224000000000001</v>
      </c>
    </row>
    <row r="50" spans="1:17">
      <c r="A50" s="7" t="s">
        <v>178</v>
      </c>
      <c r="B50" s="7" t="s">
        <v>46</v>
      </c>
      <c r="C50" s="7" t="s">
        <v>167</v>
      </c>
      <c r="D50" s="36">
        <v>38</v>
      </c>
      <c r="E50" s="43">
        <v>30.34</v>
      </c>
      <c r="F50" s="36">
        <f t="shared" si="1"/>
        <v>-7.66</v>
      </c>
      <c r="G50" s="36">
        <v>37</v>
      </c>
      <c r="H50" s="43">
        <v>29.14</v>
      </c>
      <c r="I50" s="19">
        <v>0.5575</v>
      </c>
      <c r="J50" s="45">
        <v>1.1781999999999999</v>
      </c>
      <c r="K50" s="37">
        <v>2</v>
      </c>
      <c r="L50" s="37">
        <v>3</v>
      </c>
      <c r="M50" s="37">
        <v>6</v>
      </c>
      <c r="N50" s="37">
        <v>3</v>
      </c>
      <c r="O50" s="37">
        <v>6</v>
      </c>
      <c r="P50" s="37">
        <v>6</v>
      </c>
      <c r="Q50" s="19">
        <v>1.3933</v>
      </c>
    </row>
    <row r="51" spans="1:17">
      <c r="A51" s="38" t="s">
        <v>166</v>
      </c>
      <c r="B51" s="38" t="s">
        <v>46</v>
      </c>
      <c r="C51" s="38" t="s">
        <v>167</v>
      </c>
      <c r="D51" s="39">
        <v>48</v>
      </c>
      <c r="E51" s="43">
        <v>51.47</v>
      </c>
      <c r="F51" s="39">
        <f t="shared" si="1"/>
        <v>3.4699999999999989</v>
      </c>
      <c r="G51" s="39">
        <v>47.5</v>
      </c>
      <c r="H51" s="43">
        <v>50.67</v>
      </c>
      <c r="I51" s="40">
        <v>0.82809999999999995</v>
      </c>
      <c r="J51" s="45">
        <v>0.78669999999999995</v>
      </c>
      <c r="K51" s="41">
        <v>9</v>
      </c>
      <c r="L51" s="41">
        <v>10</v>
      </c>
      <c r="M51" s="41">
        <v>7</v>
      </c>
      <c r="N51" s="41">
        <v>10</v>
      </c>
      <c r="O51" s="41">
        <v>8</v>
      </c>
      <c r="P51" s="41">
        <v>8</v>
      </c>
      <c r="Q51" s="40">
        <v>0.61599999999999999</v>
      </c>
    </row>
    <row r="52" spans="1:17">
      <c r="A52" s="7" t="s">
        <v>169</v>
      </c>
      <c r="B52" s="7" t="s">
        <v>46</v>
      </c>
      <c r="C52" s="7" t="s">
        <v>167</v>
      </c>
      <c r="D52" s="36">
        <v>46</v>
      </c>
      <c r="E52" s="43">
        <v>40.89</v>
      </c>
      <c r="F52" s="36">
        <f t="shared" si="1"/>
        <v>-5.1099999999999994</v>
      </c>
      <c r="G52" s="36">
        <v>45.4</v>
      </c>
      <c r="H52" s="43">
        <v>40.46</v>
      </c>
      <c r="I52" s="19">
        <v>0.2014</v>
      </c>
      <c r="J52" s="45">
        <v>0.42399999999999999</v>
      </c>
      <c r="K52" s="37">
        <v>9</v>
      </c>
      <c r="L52" s="37">
        <v>10</v>
      </c>
      <c r="M52" s="37">
        <v>5</v>
      </c>
      <c r="N52" s="37">
        <v>6</v>
      </c>
      <c r="O52" s="37">
        <v>7</v>
      </c>
      <c r="P52" s="37">
        <v>5</v>
      </c>
      <c r="Q52" s="19">
        <v>0.35720000000000002</v>
      </c>
    </row>
    <row r="53" spans="1:17">
      <c r="A53" s="38" t="s">
        <v>173</v>
      </c>
      <c r="B53" s="38" t="s">
        <v>46</v>
      </c>
      <c r="C53" s="38" t="s">
        <v>174</v>
      </c>
      <c r="D53" s="39">
        <v>43</v>
      </c>
      <c r="E53" s="43">
        <v>43.56</v>
      </c>
      <c r="F53" s="39">
        <f t="shared" si="1"/>
        <v>0.56000000000000227</v>
      </c>
      <c r="G53" s="39">
        <v>41</v>
      </c>
      <c r="H53" s="43">
        <v>42.24</v>
      </c>
      <c r="I53" s="40">
        <v>1.5139</v>
      </c>
      <c r="J53" s="45">
        <v>1.3371</v>
      </c>
      <c r="K53" s="41">
        <v>7</v>
      </c>
      <c r="L53" s="41">
        <v>5</v>
      </c>
      <c r="M53" s="41">
        <v>10</v>
      </c>
      <c r="N53" s="41">
        <v>3</v>
      </c>
      <c r="O53" s="41">
        <v>9</v>
      </c>
      <c r="P53" s="41">
        <v>10</v>
      </c>
      <c r="Q53" s="40">
        <v>1.1841999999999999</v>
      </c>
    </row>
    <row r="54" spans="1:17">
      <c r="A54" s="7" t="s">
        <v>179</v>
      </c>
      <c r="B54" s="7" t="s">
        <v>46</v>
      </c>
      <c r="C54" s="7" t="s">
        <v>176</v>
      </c>
      <c r="D54" s="36">
        <v>35</v>
      </c>
      <c r="E54" s="43">
        <v>34.92</v>
      </c>
      <c r="F54" s="36">
        <f t="shared" si="1"/>
        <v>-7.9999999999998295E-2</v>
      </c>
      <c r="G54" s="36">
        <v>35</v>
      </c>
      <c r="H54" s="43">
        <v>34.770000000000003</v>
      </c>
      <c r="I54" s="19">
        <v>0.187</v>
      </c>
      <c r="J54" s="45">
        <v>1.11E-2</v>
      </c>
      <c r="K54" s="37">
        <v>10</v>
      </c>
      <c r="L54" s="37">
        <v>3</v>
      </c>
      <c r="M54" s="37">
        <v>3</v>
      </c>
      <c r="N54" s="37">
        <v>3</v>
      </c>
      <c r="O54" s="37">
        <v>4</v>
      </c>
      <c r="P54" s="37">
        <v>3</v>
      </c>
      <c r="Q54" s="19">
        <v>0.1961</v>
      </c>
    </row>
    <row r="55" spans="1:17">
      <c r="A55" s="38" t="s">
        <v>180</v>
      </c>
      <c r="B55" s="38" t="s">
        <v>46</v>
      </c>
      <c r="C55" s="38" t="s">
        <v>176</v>
      </c>
      <c r="D55" s="39">
        <v>35</v>
      </c>
      <c r="E55" s="43">
        <v>34.89</v>
      </c>
      <c r="F55" s="39">
        <f t="shared" si="1"/>
        <v>-0.10999999999999943</v>
      </c>
      <c r="G55" s="39">
        <v>35</v>
      </c>
      <c r="H55" s="43">
        <v>34.75</v>
      </c>
      <c r="I55" s="40">
        <v>0.20019999999999999</v>
      </c>
      <c r="J55" s="45">
        <v>4.1000000000000003E-3</v>
      </c>
      <c r="K55" s="41">
        <v>10</v>
      </c>
      <c r="L55" s="41">
        <v>3</v>
      </c>
      <c r="M55" s="41">
        <v>3</v>
      </c>
      <c r="N55" s="41">
        <v>3</v>
      </c>
      <c r="O55" s="41">
        <v>4</v>
      </c>
      <c r="P55" s="41">
        <v>3</v>
      </c>
      <c r="Q55" s="40">
        <v>0.1255</v>
      </c>
    </row>
    <row r="56" spans="1:17">
      <c r="A56" s="7" t="s">
        <v>175</v>
      </c>
      <c r="B56" s="7" t="s">
        <v>46</v>
      </c>
      <c r="C56" s="7" t="s">
        <v>176</v>
      </c>
      <c r="D56" s="36">
        <v>40</v>
      </c>
      <c r="E56" s="43">
        <v>35.35</v>
      </c>
      <c r="F56" s="36">
        <f t="shared" si="1"/>
        <v>-4.6499999999999986</v>
      </c>
      <c r="G56" s="36">
        <v>39.299999999999997</v>
      </c>
      <c r="H56" s="43">
        <v>34.74</v>
      </c>
      <c r="I56" s="19">
        <v>0.52129999999999999</v>
      </c>
      <c r="J56" s="45">
        <v>0.63990000000000002</v>
      </c>
      <c r="K56" s="37">
        <v>5</v>
      </c>
      <c r="L56" s="37">
        <v>10</v>
      </c>
      <c r="M56" s="37">
        <v>3</v>
      </c>
      <c r="N56" s="37">
        <v>6</v>
      </c>
      <c r="O56" s="37">
        <v>10</v>
      </c>
      <c r="P56" s="37">
        <v>3</v>
      </c>
      <c r="Q56" s="19">
        <v>0.28179999999999999</v>
      </c>
    </row>
    <row r="57" spans="1:17">
      <c r="A57" s="38" t="s">
        <v>168</v>
      </c>
      <c r="B57" s="38" t="s">
        <v>46</v>
      </c>
      <c r="C57" s="38" t="s">
        <v>164</v>
      </c>
      <c r="D57" s="39">
        <v>47</v>
      </c>
      <c r="E57" s="43">
        <v>40.85</v>
      </c>
      <c r="F57" s="39">
        <f t="shared" si="1"/>
        <v>-6.1499999999999986</v>
      </c>
      <c r="G57" s="39">
        <v>46</v>
      </c>
      <c r="H57" s="43">
        <v>39.799999999999997</v>
      </c>
      <c r="I57" s="40">
        <v>1.0648</v>
      </c>
      <c r="J57" s="45">
        <v>1.0206</v>
      </c>
      <c r="K57" s="41">
        <v>6</v>
      </c>
      <c r="L57" s="41">
        <v>7</v>
      </c>
      <c r="M57" s="41">
        <v>9</v>
      </c>
      <c r="N57" s="41">
        <v>3</v>
      </c>
      <c r="O57" s="41">
        <v>7</v>
      </c>
      <c r="P57" s="41">
        <v>10</v>
      </c>
      <c r="Q57" s="40">
        <v>1.1440999999999999</v>
      </c>
    </row>
    <row r="58" spans="1:17">
      <c r="A58" s="7" t="s">
        <v>165</v>
      </c>
      <c r="B58" s="7" t="s">
        <v>46</v>
      </c>
      <c r="C58" s="7" t="s">
        <v>164</v>
      </c>
      <c r="D58" s="36">
        <v>49</v>
      </c>
      <c r="E58" s="43">
        <v>45.25</v>
      </c>
      <c r="F58" s="36">
        <f t="shared" si="1"/>
        <v>-3.75</v>
      </c>
      <c r="G58" s="36">
        <v>48.3</v>
      </c>
      <c r="H58" s="43">
        <v>44.15</v>
      </c>
      <c r="I58" s="19">
        <v>0.91410000000000002</v>
      </c>
      <c r="J58" s="45">
        <v>1.0827</v>
      </c>
      <c r="K58" s="37">
        <v>8</v>
      </c>
      <c r="L58" s="37">
        <v>5</v>
      </c>
      <c r="M58" s="37">
        <v>9</v>
      </c>
      <c r="N58" s="37">
        <v>6</v>
      </c>
      <c r="O58" s="37">
        <v>6</v>
      </c>
      <c r="P58" s="37">
        <v>9</v>
      </c>
      <c r="Q58" s="19">
        <v>0.74729999999999996</v>
      </c>
    </row>
    <row r="59" spans="1:17">
      <c r="A59" s="38" t="s">
        <v>163</v>
      </c>
      <c r="B59" s="38" t="s">
        <v>46</v>
      </c>
      <c r="C59" s="38" t="s">
        <v>164</v>
      </c>
      <c r="D59" s="39">
        <v>52</v>
      </c>
      <c r="E59" s="43">
        <v>45.7</v>
      </c>
      <c r="F59" s="39">
        <f t="shared" si="1"/>
        <v>-6.2999999999999972</v>
      </c>
      <c r="G59" s="39">
        <v>50.9</v>
      </c>
      <c r="H59" s="43">
        <v>44.51</v>
      </c>
      <c r="I59" s="40">
        <v>1.2352000000000001</v>
      </c>
      <c r="J59" s="45">
        <v>1.1274999999999999</v>
      </c>
      <c r="K59" s="41">
        <v>7</v>
      </c>
      <c r="L59" s="41">
        <v>3</v>
      </c>
      <c r="M59" s="41">
        <v>9</v>
      </c>
      <c r="N59" s="41">
        <v>5</v>
      </c>
      <c r="O59" s="41">
        <v>7</v>
      </c>
      <c r="P59" s="41">
        <v>10</v>
      </c>
      <c r="Q59" s="40">
        <v>1.0044999999999999</v>
      </c>
    </row>
    <row r="60" spans="1:17">
      <c r="A60" s="7" t="s">
        <v>181</v>
      </c>
      <c r="B60" s="7" t="s">
        <v>46</v>
      </c>
      <c r="C60" s="7" t="s">
        <v>162</v>
      </c>
      <c r="D60" s="36">
        <v>35</v>
      </c>
      <c r="E60" s="43">
        <v>37.729999999999997</v>
      </c>
      <c r="F60" s="36">
        <f t="shared" si="1"/>
        <v>2.7299999999999969</v>
      </c>
      <c r="G60" s="36">
        <v>34.299999999999997</v>
      </c>
      <c r="H60" s="43">
        <v>36.14</v>
      </c>
      <c r="I60" s="19">
        <v>0.65539999999999998</v>
      </c>
      <c r="J60" s="45">
        <v>1.597</v>
      </c>
      <c r="K60" s="37">
        <v>2</v>
      </c>
      <c r="L60" s="37">
        <v>3</v>
      </c>
      <c r="M60" s="37">
        <v>10</v>
      </c>
      <c r="N60" s="37">
        <v>6</v>
      </c>
      <c r="O60" s="37">
        <v>4</v>
      </c>
      <c r="P60" s="37">
        <v>10</v>
      </c>
      <c r="Q60" s="19">
        <v>0.68910000000000005</v>
      </c>
    </row>
    <row r="61" spans="1:17">
      <c r="A61" s="38" t="s">
        <v>161</v>
      </c>
      <c r="B61" s="38" t="s">
        <v>46</v>
      </c>
      <c r="C61" s="38" t="s">
        <v>162</v>
      </c>
      <c r="D61" s="39">
        <v>58</v>
      </c>
      <c r="E61" s="43">
        <v>41.34</v>
      </c>
      <c r="F61" s="39">
        <f t="shared" si="1"/>
        <v>-16.659999999999997</v>
      </c>
      <c r="G61" s="39">
        <v>57.4</v>
      </c>
      <c r="H61" s="43">
        <v>39.82</v>
      </c>
      <c r="I61" s="40">
        <v>0.28589999999999999</v>
      </c>
      <c r="J61" s="45">
        <v>1.5336000000000001</v>
      </c>
      <c r="K61" s="41">
        <v>2</v>
      </c>
      <c r="L61" s="41">
        <v>3</v>
      </c>
      <c r="M61" s="41">
        <v>7</v>
      </c>
      <c r="N61" s="41">
        <v>10</v>
      </c>
      <c r="O61" s="41">
        <v>7</v>
      </c>
      <c r="P61" s="41">
        <v>7</v>
      </c>
      <c r="Q61" s="40">
        <v>0.2356</v>
      </c>
    </row>
    <row r="62" spans="1:17">
      <c r="A62" s="7" t="s">
        <v>99</v>
      </c>
      <c r="B62" s="7" t="s">
        <v>41</v>
      </c>
      <c r="C62" s="7" t="s">
        <v>97</v>
      </c>
      <c r="D62" s="36">
        <v>50</v>
      </c>
      <c r="E62" s="43">
        <v>47.85</v>
      </c>
      <c r="F62" s="36">
        <f t="shared" si="1"/>
        <v>-2.1499999999999986</v>
      </c>
      <c r="G62" s="36">
        <v>49.2</v>
      </c>
      <c r="H62" s="43">
        <v>46.74</v>
      </c>
      <c r="I62" s="19">
        <v>1.1186</v>
      </c>
      <c r="J62" s="45">
        <v>1.1113</v>
      </c>
      <c r="K62" s="37">
        <v>6</v>
      </c>
      <c r="L62" s="37">
        <v>9</v>
      </c>
      <c r="M62" s="37">
        <v>8</v>
      </c>
      <c r="N62" s="37">
        <v>10</v>
      </c>
      <c r="O62" s="37">
        <v>6</v>
      </c>
      <c r="P62" s="37">
        <v>9</v>
      </c>
      <c r="Q62" s="19">
        <v>1.1975</v>
      </c>
    </row>
    <row r="63" spans="1:17">
      <c r="A63" s="38" t="s">
        <v>101</v>
      </c>
      <c r="B63" s="38" t="s">
        <v>41</v>
      </c>
      <c r="C63" s="38" t="s">
        <v>97</v>
      </c>
      <c r="D63" s="39">
        <v>40</v>
      </c>
      <c r="E63" s="43">
        <v>39.409999999999997</v>
      </c>
      <c r="F63" s="39">
        <f t="shared" si="1"/>
        <v>-0.59000000000000341</v>
      </c>
      <c r="G63" s="39">
        <v>39.4</v>
      </c>
      <c r="H63" s="43">
        <v>38.299999999999997</v>
      </c>
      <c r="I63" s="40">
        <v>0.77239999999999998</v>
      </c>
      <c r="J63" s="45">
        <v>1.0550999999999999</v>
      </c>
      <c r="K63" s="41">
        <v>4</v>
      </c>
      <c r="L63" s="41">
        <v>5</v>
      </c>
      <c r="M63" s="41">
        <v>7</v>
      </c>
      <c r="N63" s="41">
        <v>6</v>
      </c>
      <c r="O63" s="41">
        <v>6</v>
      </c>
      <c r="P63" s="41">
        <v>8</v>
      </c>
      <c r="Q63" s="40">
        <v>0.92989999999999995</v>
      </c>
    </row>
    <row r="64" spans="1:17">
      <c r="A64" s="7" t="s">
        <v>104</v>
      </c>
      <c r="B64" s="7" t="s">
        <v>41</v>
      </c>
      <c r="C64" s="7" t="s">
        <v>97</v>
      </c>
      <c r="D64" s="36">
        <v>34</v>
      </c>
      <c r="E64" s="43">
        <v>37.49</v>
      </c>
      <c r="F64" s="36">
        <f t="shared" si="1"/>
        <v>3.490000000000002</v>
      </c>
      <c r="G64" s="36">
        <v>33.700000000000003</v>
      </c>
      <c r="H64" s="43">
        <v>36.6</v>
      </c>
      <c r="I64" s="19">
        <v>-0.16969999999999999</v>
      </c>
      <c r="J64" s="45">
        <v>0.81010000000000004</v>
      </c>
      <c r="K64" s="37">
        <v>4</v>
      </c>
      <c r="L64" s="37">
        <v>3</v>
      </c>
      <c r="M64" s="37">
        <v>7</v>
      </c>
      <c r="N64" s="37">
        <v>5</v>
      </c>
      <c r="O64" s="37">
        <v>6</v>
      </c>
      <c r="P64" s="37">
        <v>8</v>
      </c>
      <c r="Q64" s="19">
        <v>-1.6446000000000001</v>
      </c>
    </row>
    <row r="65" spans="1:17">
      <c r="A65" s="38" t="s">
        <v>96</v>
      </c>
      <c r="B65" s="38" t="s">
        <v>41</v>
      </c>
      <c r="C65" s="38" t="s">
        <v>97</v>
      </c>
      <c r="D65" s="39">
        <v>54</v>
      </c>
      <c r="E65" s="43">
        <v>49.22</v>
      </c>
      <c r="F65" s="39">
        <f t="shared" si="1"/>
        <v>-4.7800000000000011</v>
      </c>
      <c r="G65" s="39">
        <v>52.6</v>
      </c>
      <c r="H65" s="43">
        <v>48.5</v>
      </c>
      <c r="I65" s="40">
        <v>1.3525</v>
      </c>
      <c r="J65" s="45">
        <v>0.72889999999999999</v>
      </c>
      <c r="K65" s="41">
        <v>10</v>
      </c>
      <c r="L65" s="41">
        <v>10</v>
      </c>
      <c r="M65" s="41">
        <v>6</v>
      </c>
      <c r="N65" s="41">
        <v>10</v>
      </c>
      <c r="O65" s="41">
        <v>7</v>
      </c>
      <c r="P65" s="41">
        <v>6</v>
      </c>
      <c r="Q65" s="40">
        <v>1.2739</v>
      </c>
    </row>
    <row r="66" spans="1:17">
      <c r="A66" s="7" t="s">
        <v>103</v>
      </c>
      <c r="B66" s="7" t="s">
        <v>41</v>
      </c>
      <c r="C66" s="7" t="s">
        <v>97</v>
      </c>
      <c r="D66" s="36">
        <v>36</v>
      </c>
      <c r="E66" s="43">
        <v>38.549999999999997</v>
      </c>
      <c r="F66" s="36">
        <f t="shared" ref="F66:F97" si="2">E66-D66</f>
        <v>2.5499999999999972</v>
      </c>
      <c r="G66" s="36">
        <v>35.5</v>
      </c>
      <c r="H66" s="43">
        <v>37.68</v>
      </c>
      <c r="I66" s="19">
        <v>0.94059999999999999</v>
      </c>
      <c r="J66" s="45">
        <v>0.85740000000000005</v>
      </c>
      <c r="K66" s="37">
        <v>5</v>
      </c>
      <c r="L66" s="37">
        <v>9</v>
      </c>
      <c r="M66" s="37">
        <v>7</v>
      </c>
      <c r="N66" s="37">
        <v>5</v>
      </c>
      <c r="O66" s="37">
        <v>6</v>
      </c>
      <c r="P66" s="37">
        <v>8</v>
      </c>
      <c r="Q66" s="19">
        <v>1.2333000000000001</v>
      </c>
    </row>
    <row r="67" spans="1:17">
      <c r="A67" s="38" t="s">
        <v>102</v>
      </c>
      <c r="B67" s="38" t="s">
        <v>41</v>
      </c>
      <c r="C67" s="38" t="s">
        <v>97</v>
      </c>
      <c r="D67" s="39">
        <v>38</v>
      </c>
      <c r="E67" s="43">
        <v>39.49</v>
      </c>
      <c r="F67" s="39">
        <f t="shared" si="2"/>
        <v>1.490000000000002</v>
      </c>
      <c r="G67" s="39">
        <v>36.9</v>
      </c>
      <c r="H67" s="43">
        <v>38.479999999999997</v>
      </c>
      <c r="I67" s="40">
        <v>0.86399999999999999</v>
      </c>
      <c r="J67" s="45">
        <v>0.98650000000000004</v>
      </c>
      <c r="K67" s="41">
        <v>7</v>
      </c>
      <c r="L67" s="41">
        <v>5</v>
      </c>
      <c r="M67" s="41">
        <v>10</v>
      </c>
      <c r="N67" s="41">
        <v>3</v>
      </c>
      <c r="O67" s="41">
        <v>4</v>
      </c>
      <c r="P67" s="41">
        <v>10</v>
      </c>
      <c r="Q67" s="40">
        <v>0.2</v>
      </c>
    </row>
    <row r="68" spans="1:17">
      <c r="A68" s="7" t="s">
        <v>98</v>
      </c>
      <c r="B68" s="7" t="s">
        <v>41</v>
      </c>
      <c r="C68" s="7" t="s">
        <v>97</v>
      </c>
      <c r="D68" s="36">
        <v>52</v>
      </c>
      <c r="E68" s="43">
        <v>46.79</v>
      </c>
      <c r="F68" s="36">
        <f t="shared" si="2"/>
        <v>-5.2100000000000009</v>
      </c>
      <c r="G68" s="36">
        <v>50</v>
      </c>
      <c r="H68" s="43">
        <v>46.08</v>
      </c>
      <c r="I68" s="19">
        <v>1.8475999999999999</v>
      </c>
      <c r="J68" s="45">
        <v>0.60940000000000005</v>
      </c>
      <c r="K68" s="37">
        <v>5</v>
      </c>
      <c r="L68" s="37">
        <v>10</v>
      </c>
      <c r="M68" s="37">
        <v>7</v>
      </c>
      <c r="N68" s="37">
        <v>10</v>
      </c>
      <c r="O68" s="37">
        <v>4</v>
      </c>
      <c r="P68" s="37">
        <v>10</v>
      </c>
      <c r="Q68" s="19">
        <v>0.2</v>
      </c>
    </row>
    <row r="69" spans="1:17">
      <c r="A69" s="38" t="s">
        <v>100</v>
      </c>
      <c r="B69" s="38" t="s">
        <v>41</v>
      </c>
      <c r="C69" s="38" t="s">
        <v>97</v>
      </c>
      <c r="D69" s="39">
        <v>41</v>
      </c>
      <c r="E69" s="43">
        <v>45.17</v>
      </c>
      <c r="F69" s="39">
        <f t="shared" si="2"/>
        <v>4.1700000000000017</v>
      </c>
      <c r="G69" s="39">
        <v>39.9</v>
      </c>
      <c r="H69" s="43">
        <v>43.81</v>
      </c>
      <c r="I69" s="40">
        <v>1.3977999999999999</v>
      </c>
      <c r="J69" s="45">
        <v>1.4645999999999999</v>
      </c>
      <c r="K69" s="41">
        <v>6</v>
      </c>
      <c r="L69" s="41">
        <v>10</v>
      </c>
      <c r="M69" s="41">
        <v>10</v>
      </c>
      <c r="N69" s="41">
        <v>10</v>
      </c>
      <c r="O69" s="41">
        <v>4</v>
      </c>
      <c r="P69" s="41">
        <v>9</v>
      </c>
      <c r="Q69" s="40">
        <v>1.3697999999999999</v>
      </c>
    </row>
    <row r="70" spans="1:17">
      <c r="A70" s="7" t="s">
        <v>105</v>
      </c>
      <c r="B70" s="7" t="s">
        <v>41</v>
      </c>
      <c r="C70" s="7" t="s">
        <v>97</v>
      </c>
      <c r="D70" s="36">
        <v>34</v>
      </c>
      <c r="E70" s="43">
        <v>36.15</v>
      </c>
      <c r="F70" s="36">
        <f t="shared" si="2"/>
        <v>2.1499999999999986</v>
      </c>
      <c r="G70" s="36">
        <v>32.9</v>
      </c>
      <c r="H70" s="43">
        <v>35.33</v>
      </c>
      <c r="I70" s="19">
        <v>0.84970000000000001</v>
      </c>
      <c r="J70" s="45">
        <v>0.85270000000000001</v>
      </c>
      <c r="K70" s="37">
        <v>5</v>
      </c>
      <c r="L70" s="37">
        <v>10</v>
      </c>
      <c r="M70" s="37">
        <v>7</v>
      </c>
      <c r="N70" s="37">
        <v>5</v>
      </c>
      <c r="O70" s="37">
        <v>6</v>
      </c>
      <c r="P70" s="37">
        <v>7</v>
      </c>
      <c r="Q70" s="19">
        <v>0.27689999999999998</v>
      </c>
    </row>
    <row r="71" spans="1:17">
      <c r="A71" s="38" t="s">
        <v>203</v>
      </c>
      <c r="B71" s="38" t="s">
        <v>47</v>
      </c>
      <c r="C71" s="38" t="s">
        <v>201</v>
      </c>
      <c r="D71" s="39">
        <v>39</v>
      </c>
      <c r="E71" s="43">
        <v>43.99</v>
      </c>
      <c r="F71" s="39">
        <f t="shared" si="2"/>
        <v>4.990000000000002</v>
      </c>
      <c r="G71" s="39">
        <v>38.1</v>
      </c>
      <c r="H71" s="43">
        <v>42.4</v>
      </c>
      <c r="I71" s="40">
        <v>0.7752</v>
      </c>
      <c r="J71" s="45">
        <v>1.5583</v>
      </c>
      <c r="K71" s="41">
        <v>2</v>
      </c>
      <c r="L71" s="41">
        <v>3</v>
      </c>
      <c r="M71" s="41">
        <v>8</v>
      </c>
      <c r="N71" s="41">
        <v>10</v>
      </c>
      <c r="O71" s="41">
        <v>6</v>
      </c>
      <c r="P71" s="41">
        <v>9</v>
      </c>
      <c r="Q71" s="40">
        <v>1.0194000000000001</v>
      </c>
    </row>
    <row r="72" spans="1:17">
      <c r="A72" s="7" t="s">
        <v>200</v>
      </c>
      <c r="B72" s="7" t="s">
        <v>47</v>
      </c>
      <c r="C72" s="7" t="s">
        <v>201</v>
      </c>
      <c r="D72" s="36">
        <v>46</v>
      </c>
      <c r="E72" s="43">
        <v>43.72</v>
      </c>
      <c r="F72" s="36">
        <f t="shared" si="2"/>
        <v>-2.2800000000000011</v>
      </c>
      <c r="G72" s="36">
        <v>45</v>
      </c>
      <c r="H72" s="43">
        <v>40.369999999999997</v>
      </c>
      <c r="I72" s="19">
        <v>1.0597000000000001</v>
      </c>
      <c r="J72" s="45">
        <v>3.4136000000000002</v>
      </c>
      <c r="K72" s="37">
        <v>2</v>
      </c>
      <c r="L72" s="37">
        <v>5</v>
      </c>
      <c r="M72" s="37">
        <v>9</v>
      </c>
      <c r="N72" s="37">
        <v>3</v>
      </c>
      <c r="O72" s="37">
        <v>6</v>
      </c>
      <c r="P72" s="37">
        <v>10</v>
      </c>
      <c r="Q72" s="19">
        <v>22.153500000000001</v>
      </c>
    </row>
    <row r="73" spans="1:17">
      <c r="A73" s="38" t="s">
        <v>205</v>
      </c>
      <c r="B73" s="38" t="s">
        <v>47</v>
      </c>
      <c r="C73" s="38" t="s">
        <v>201</v>
      </c>
      <c r="D73" s="39">
        <v>33</v>
      </c>
      <c r="E73" s="43">
        <v>31.65</v>
      </c>
      <c r="F73" s="39">
        <f t="shared" si="2"/>
        <v>-1.3500000000000014</v>
      </c>
      <c r="G73" s="39">
        <v>32</v>
      </c>
      <c r="H73" s="43">
        <v>31.15</v>
      </c>
      <c r="I73" s="40">
        <v>0.53010000000000002</v>
      </c>
      <c r="J73" s="45">
        <v>0.44900000000000001</v>
      </c>
      <c r="K73" s="41">
        <v>6</v>
      </c>
      <c r="L73" s="41">
        <v>5</v>
      </c>
      <c r="M73" s="41">
        <v>3</v>
      </c>
      <c r="N73" s="41">
        <v>3</v>
      </c>
      <c r="O73" s="41">
        <v>7</v>
      </c>
      <c r="P73" s="41">
        <v>3</v>
      </c>
      <c r="Q73" s="40">
        <v>0.59219999999999995</v>
      </c>
    </row>
    <row r="74" spans="1:17">
      <c r="A74" s="7" t="s">
        <v>202</v>
      </c>
      <c r="B74" s="7" t="s">
        <v>47</v>
      </c>
      <c r="C74" s="7" t="s">
        <v>201</v>
      </c>
      <c r="D74" s="36">
        <v>44</v>
      </c>
      <c r="E74" s="43">
        <v>53.02</v>
      </c>
      <c r="F74" s="36">
        <f t="shared" si="2"/>
        <v>9.0200000000000031</v>
      </c>
      <c r="G74" s="36">
        <v>43.1</v>
      </c>
      <c r="H74" s="43">
        <v>51.7</v>
      </c>
      <c r="I74" s="19">
        <v>0.94440000000000002</v>
      </c>
      <c r="J74" s="45">
        <v>1.3120000000000001</v>
      </c>
      <c r="K74" s="37">
        <v>10</v>
      </c>
      <c r="L74" s="37">
        <v>10</v>
      </c>
      <c r="M74" s="37">
        <v>7</v>
      </c>
      <c r="N74" s="37">
        <v>10</v>
      </c>
      <c r="O74" s="37">
        <v>4</v>
      </c>
      <c r="P74" s="37">
        <v>8</v>
      </c>
      <c r="Q74" s="19">
        <v>8.6951999999999998</v>
      </c>
    </row>
    <row r="75" spans="1:17">
      <c r="A75" s="38" t="s">
        <v>204</v>
      </c>
      <c r="B75" s="38" t="s">
        <v>47</v>
      </c>
      <c r="C75" s="38" t="s">
        <v>201</v>
      </c>
      <c r="D75" s="39">
        <v>38</v>
      </c>
      <c r="E75" s="43">
        <v>33.75</v>
      </c>
      <c r="F75" s="39">
        <f t="shared" si="2"/>
        <v>-4.25</v>
      </c>
      <c r="G75" s="39">
        <v>37.799999999999997</v>
      </c>
      <c r="H75" s="43">
        <v>33.04</v>
      </c>
      <c r="I75" s="40">
        <v>0.48570000000000002</v>
      </c>
      <c r="J75" s="45">
        <v>0.63880000000000003</v>
      </c>
      <c r="K75" s="41">
        <v>6</v>
      </c>
      <c r="L75" s="41">
        <v>3</v>
      </c>
      <c r="M75" s="41">
        <v>5</v>
      </c>
      <c r="N75" s="41">
        <v>3</v>
      </c>
      <c r="O75" s="41">
        <v>6</v>
      </c>
      <c r="P75" s="41">
        <v>5</v>
      </c>
      <c r="Q75" s="40">
        <v>0.15310000000000001</v>
      </c>
    </row>
    <row r="76" spans="1:17">
      <c r="A76" s="7" t="s">
        <v>230</v>
      </c>
      <c r="B76" s="7" t="s">
        <v>45</v>
      </c>
      <c r="C76" s="7" t="s">
        <v>226</v>
      </c>
      <c r="D76" s="36">
        <v>43</v>
      </c>
      <c r="E76" s="43">
        <v>39.92</v>
      </c>
      <c r="F76" s="36">
        <f t="shared" si="2"/>
        <v>-3.0799999999999983</v>
      </c>
      <c r="G76" s="36">
        <v>41.8</v>
      </c>
      <c r="H76" s="43">
        <v>39.020000000000003</v>
      </c>
      <c r="I76" s="19">
        <v>0.74860000000000004</v>
      </c>
      <c r="J76" s="45">
        <v>0.83799999999999997</v>
      </c>
      <c r="K76" s="37">
        <v>8</v>
      </c>
      <c r="L76" s="37">
        <v>3</v>
      </c>
      <c r="M76" s="37">
        <v>9</v>
      </c>
      <c r="N76" s="37">
        <v>3</v>
      </c>
      <c r="O76" s="37">
        <v>4</v>
      </c>
      <c r="P76" s="37">
        <v>9</v>
      </c>
      <c r="Q76" s="19">
        <v>7.0499999999999993E-2</v>
      </c>
    </row>
    <row r="77" spans="1:17">
      <c r="A77" s="38" t="s">
        <v>239</v>
      </c>
      <c r="B77" s="38" t="s">
        <v>45</v>
      </c>
      <c r="C77" s="38" t="s">
        <v>226</v>
      </c>
      <c r="D77" s="39">
        <v>31</v>
      </c>
      <c r="E77" s="43">
        <v>37.299999999999997</v>
      </c>
      <c r="F77" s="39">
        <f t="shared" si="2"/>
        <v>6.2999999999999972</v>
      </c>
      <c r="G77" s="39">
        <v>30.6</v>
      </c>
      <c r="H77" s="43">
        <v>36.159999999999997</v>
      </c>
      <c r="I77" s="40">
        <v>0.47489999999999999</v>
      </c>
      <c r="J77" s="45">
        <v>1.0847</v>
      </c>
      <c r="K77" s="41">
        <v>4</v>
      </c>
      <c r="L77" s="41">
        <v>3</v>
      </c>
      <c r="M77" s="41">
        <v>7</v>
      </c>
      <c r="N77" s="41">
        <v>3</v>
      </c>
      <c r="O77" s="41">
        <v>8</v>
      </c>
      <c r="P77" s="41">
        <v>8</v>
      </c>
      <c r="Q77" s="40">
        <v>0.97840000000000005</v>
      </c>
    </row>
    <row r="78" spans="1:17">
      <c r="A78" s="7" t="s">
        <v>225</v>
      </c>
      <c r="B78" s="7" t="s">
        <v>45</v>
      </c>
      <c r="C78" s="7" t="s">
        <v>226</v>
      </c>
      <c r="D78" s="36">
        <v>48</v>
      </c>
      <c r="E78" s="43">
        <v>41.07</v>
      </c>
      <c r="F78" s="36">
        <f t="shared" si="2"/>
        <v>-6.93</v>
      </c>
      <c r="G78" s="36">
        <v>47.7</v>
      </c>
      <c r="H78" s="43">
        <v>39.700000000000003</v>
      </c>
      <c r="I78" s="19">
        <v>0.71330000000000005</v>
      </c>
      <c r="J78" s="45">
        <v>1.3258000000000001</v>
      </c>
      <c r="K78" s="37">
        <v>2</v>
      </c>
      <c r="L78" s="37">
        <v>3</v>
      </c>
      <c r="M78" s="37">
        <v>7</v>
      </c>
      <c r="N78" s="37">
        <v>9</v>
      </c>
      <c r="O78" s="37">
        <v>6</v>
      </c>
      <c r="P78" s="37">
        <v>8</v>
      </c>
      <c r="Q78" s="19">
        <v>0.2742</v>
      </c>
    </row>
    <row r="79" spans="1:17">
      <c r="A79" s="38" t="s">
        <v>232</v>
      </c>
      <c r="B79" s="38" t="s">
        <v>45</v>
      </c>
      <c r="C79" s="38" t="s">
        <v>233</v>
      </c>
      <c r="D79" s="39">
        <v>41</v>
      </c>
      <c r="E79" s="43">
        <v>45.63</v>
      </c>
      <c r="F79" s="39">
        <f t="shared" si="2"/>
        <v>4.6300000000000026</v>
      </c>
      <c r="G79" s="39">
        <v>40</v>
      </c>
      <c r="H79" s="43">
        <v>44.57</v>
      </c>
      <c r="I79" s="40">
        <v>0.58689999999999998</v>
      </c>
      <c r="J79" s="45">
        <v>1.0512999999999999</v>
      </c>
      <c r="K79" s="41">
        <v>8</v>
      </c>
      <c r="L79" s="41">
        <v>5</v>
      </c>
      <c r="M79" s="41">
        <v>7</v>
      </c>
      <c r="N79" s="41">
        <v>6</v>
      </c>
      <c r="O79" s="41">
        <v>10</v>
      </c>
      <c r="P79" s="41">
        <v>7</v>
      </c>
      <c r="Q79" s="40">
        <v>0.70579999999999998</v>
      </c>
    </row>
    <row r="80" spans="1:17">
      <c r="A80" s="7" t="s">
        <v>234</v>
      </c>
      <c r="B80" s="7" t="s">
        <v>45</v>
      </c>
      <c r="C80" s="7" t="s">
        <v>233</v>
      </c>
      <c r="D80" s="36">
        <v>40</v>
      </c>
      <c r="E80" s="43">
        <v>42.99</v>
      </c>
      <c r="F80" s="36">
        <f t="shared" si="2"/>
        <v>2.990000000000002</v>
      </c>
      <c r="G80" s="36">
        <v>40.299999999999997</v>
      </c>
      <c r="H80" s="43">
        <v>42.56</v>
      </c>
      <c r="I80" s="19">
        <v>0.18360000000000001</v>
      </c>
      <c r="J80" s="45">
        <v>0.38890000000000002</v>
      </c>
      <c r="K80" s="37">
        <v>10</v>
      </c>
      <c r="L80" s="37">
        <v>10</v>
      </c>
      <c r="M80" s="37">
        <v>8</v>
      </c>
      <c r="N80" s="37">
        <v>3</v>
      </c>
      <c r="O80" s="37">
        <v>6</v>
      </c>
      <c r="P80" s="37">
        <v>9</v>
      </c>
      <c r="Q80" s="19">
        <v>0.30509999999999998</v>
      </c>
    </row>
    <row r="81" spans="1:17">
      <c r="A81" s="38" t="s">
        <v>231</v>
      </c>
      <c r="B81" s="38" t="s">
        <v>45</v>
      </c>
      <c r="C81" s="38" t="s">
        <v>224</v>
      </c>
      <c r="D81" s="39">
        <v>42</v>
      </c>
      <c r="E81" s="43">
        <v>45.02</v>
      </c>
      <c r="F81" s="39">
        <f t="shared" si="2"/>
        <v>3.0200000000000031</v>
      </c>
      <c r="G81" s="39">
        <v>41.8</v>
      </c>
      <c r="H81" s="43">
        <v>44.11</v>
      </c>
      <c r="I81" s="40">
        <v>0.2135</v>
      </c>
      <c r="J81" s="45">
        <v>0.876</v>
      </c>
      <c r="K81" s="41">
        <v>7</v>
      </c>
      <c r="L81" s="41">
        <v>3</v>
      </c>
      <c r="M81" s="41">
        <v>3</v>
      </c>
      <c r="N81" s="41">
        <v>10</v>
      </c>
      <c r="O81" s="41">
        <v>10</v>
      </c>
      <c r="P81" s="41">
        <v>3</v>
      </c>
      <c r="Q81" s="40">
        <v>0.50070000000000003</v>
      </c>
    </row>
    <row r="82" spans="1:17">
      <c r="A82" s="7" t="s">
        <v>237</v>
      </c>
      <c r="B82" s="7" t="s">
        <v>45</v>
      </c>
      <c r="C82" s="7" t="s">
        <v>224</v>
      </c>
      <c r="D82" s="36">
        <v>38</v>
      </c>
      <c r="E82" s="43">
        <v>39.94</v>
      </c>
      <c r="F82" s="36">
        <f t="shared" si="2"/>
        <v>1.9399999999999977</v>
      </c>
      <c r="G82" s="36">
        <v>36.9</v>
      </c>
      <c r="H82" s="43">
        <v>38.659999999999997</v>
      </c>
      <c r="I82" s="19">
        <v>1.3785000000000001</v>
      </c>
      <c r="J82" s="45">
        <v>1.2185999999999999</v>
      </c>
      <c r="K82" s="37">
        <v>4</v>
      </c>
      <c r="L82" s="37">
        <v>3</v>
      </c>
      <c r="M82" s="37">
        <v>8</v>
      </c>
      <c r="N82" s="37">
        <v>5</v>
      </c>
      <c r="O82" s="37">
        <v>6</v>
      </c>
      <c r="P82" s="37">
        <v>9</v>
      </c>
      <c r="Q82" s="19">
        <v>1.3107</v>
      </c>
    </row>
    <row r="83" spans="1:17">
      <c r="A83" s="38" t="s">
        <v>228</v>
      </c>
      <c r="B83" s="38" t="s">
        <v>45</v>
      </c>
      <c r="C83" s="38" t="s">
        <v>224</v>
      </c>
      <c r="D83" s="39">
        <v>47</v>
      </c>
      <c r="E83" s="43">
        <v>44.76</v>
      </c>
      <c r="F83" s="39">
        <f t="shared" si="2"/>
        <v>-2.240000000000002</v>
      </c>
      <c r="G83" s="39">
        <v>45.8</v>
      </c>
      <c r="H83" s="43">
        <v>44.26</v>
      </c>
      <c r="I83" s="40">
        <v>1.3938999999999999</v>
      </c>
      <c r="J83" s="45">
        <v>0.44600000000000001</v>
      </c>
      <c r="K83" s="41">
        <v>10</v>
      </c>
      <c r="L83" s="41">
        <v>10</v>
      </c>
      <c r="M83" s="41">
        <v>7</v>
      </c>
      <c r="N83" s="41">
        <v>5</v>
      </c>
      <c r="O83" s="41">
        <v>6</v>
      </c>
      <c r="P83" s="41">
        <v>8</v>
      </c>
      <c r="Q83" s="40">
        <v>1.1568000000000001</v>
      </c>
    </row>
    <row r="84" spans="1:17">
      <c r="A84" s="7" t="s">
        <v>227</v>
      </c>
      <c r="B84" s="7" t="s">
        <v>45</v>
      </c>
      <c r="C84" s="7" t="s">
        <v>224</v>
      </c>
      <c r="D84" s="36">
        <v>48</v>
      </c>
      <c r="E84" s="43">
        <v>42.22</v>
      </c>
      <c r="F84" s="36">
        <f t="shared" si="2"/>
        <v>-5.7800000000000011</v>
      </c>
      <c r="G84" s="36">
        <v>48.1</v>
      </c>
      <c r="H84" s="43">
        <v>41.28</v>
      </c>
      <c r="I84" s="19">
        <v>0.2107</v>
      </c>
      <c r="J84" s="45">
        <v>0.92779999999999996</v>
      </c>
      <c r="K84" s="37">
        <v>6</v>
      </c>
      <c r="L84" s="37">
        <v>5</v>
      </c>
      <c r="M84" s="37">
        <v>3</v>
      </c>
      <c r="N84" s="37">
        <v>9</v>
      </c>
      <c r="O84" s="37">
        <v>10</v>
      </c>
      <c r="P84" s="37">
        <v>3</v>
      </c>
      <c r="Q84" s="19">
        <v>1.2516</v>
      </c>
    </row>
    <row r="85" spans="1:17">
      <c r="A85" s="38" t="s">
        <v>229</v>
      </c>
      <c r="B85" s="38" t="s">
        <v>45</v>
      </c>
      <c r="C85" s="38" t="s">
        <v>224</v>
      </c>
      <c r="D85" s="39">
        <v>46</v>
      </c>
      <c r="E85" s="43">
        <v>56.44</v>
      </c>
      <c r="F85" s="39">
        <f t="shared" si="2"/>
        <v>10.439999999999998</v>
      </c>
      <c r="G85" s="39">
        <v>45.3</v>
      </c>
      <c r="H85" s="43">
        <v>55.29</v>
      </c>
      <c r="I85" s="40">
        <v>0.49819999999999998</v>
      </c>
      <c r="J85" s="45">
        <v>1.0866</v>
      </c>
      <c r="K85" s="41">
        <v>10</v>
      </c>
      <c r="L85" s="41">
        <v>3</v>
      </c>
      <c r="M85" s="41">
        <v>8</v>
      </c>
      <c r="N85" s="41">
        <v>10</v>
      </c>
      <c r="O85" s="41">
        <v>9</v>
      </c>
      <c r="P85" s="41">
        <v>9</v>
      </c>
      <c r="Q85" s="40">
        <v>0.81020000000000003</v>
      </c>
    </row>
    <row r="86" spans="1:17">
      <c r="A86" s="7" t="s">
        <v>235</v>
      </c>
      <c r="B86" s="7" t="s">
        <v>45</v>
      </c>
      <c r="C86" s="7" t="s">
        <v>224</v>
      </c>
      <c r="D86" s="36">
        <v>40</v>
      </c>
      <c r="E86" s="43">
        <v>38.799999999999997</v>
      </c>
      <c r="F86" s="36">
        <f t="shared" si="2"/>
        <v>-1.2000000000000028</v>
      </c>
      <c r="G86" s="36">
        <v>38.799999999999997</v>
      </c>
      <c r="H86" s="43">
        <v>37.56</v>
      </c>
      <c r="I86" s="19">
        <v>1.3819999999999999</v>
      </c>
      <c r="J86" s="45">
        <v>1.1862999999999999</v>
      </c>
      <c r="K86" s="37">
        <v>4</v>
      </c>
      <c r="L86" s="37">
        <v>3</v>
      </c>
      <c r="M86" s="37">
        <v>9</v>
      </c>
      <c r="N86" s="37">
        <v>3</v>
      </c>
      <c r="O86" s="37">
        <v>7</v>
      </c>
      <c r="P86" s="37">
        <v>10</v>
      </c>
      <c r="Q86" s="19">
        <v>0.2</v>
      </c>
    </row>
    <row r="87" spans="1:17">
      <c r="A87" s="38" t="s">
        <v>236</v>
      </c>
      <c r="B87" s="38" t="s">
        <v>45</v>
      </c>
      <c r="C87" s="38" t="s">
        <v>224</v>
      </c>
      <c r="D87" s="39">
        <v>40</v>
      </c>
      <c r="E87" s="43">
        <v>36.74</v>
      </c>
      <c r="F87" s="39">
        <f t="shared" si="2"/>
        <v>-3.259999999999998</v>
      </c>
      <c r="G87" s="39">
        <v>40</v>
      </c>
      <c r="H87" s="43">
        <v>36.28</v>
      </c>
      <c r="I87" s="40">
        <v>0.41160000000000002</v>
      </c>
      <c r="J87" s="45">
        <v>0.46439999999999998</v>
      </c>
      <c r="K87" s="41">
        <v>8</v>
      </c>
      <c r="L87" s="41">
        <v>10</v>
      </c>
      <c r="M87" s="41">
        <v>6</v>
      </c>
      <c r="N87" s="41">
        <v>3</v>
      </c>
      <c r="O87" s="41">
        <v>7</v>
      </c>
      <c r="P87" s="41">
        <v>6</v>
      </c>
      <c r="Q87" s="40">
        <v>0.16769999999999999</v>
      </c>
    </row>
    <row r="88" spans="1:17">
      <c r="A88" s="7" t="s">
        <v>238</v>
      </c>
      <c r="B88" s="7" t="s">
        <v>45</v>
      </c>
      <c r="C88" s="7" t="s">
        <v>224</v>
      </c>
      <c r="D88" s="36">
        <v>38</v>
      </c>
      <c r="E88" s="43">
        <v>36.36</v>
      </c>
      <c r="F88" s="36">
        <f t="shared" si="2"/>
        <v>-1.6400000000000006</v>
      </c>
      <c r="G88" s="36">
        <v>37.5</v>
      </c>
      <c r="H88" s="43">
        <v>36.28</v>
      </c>
      <c r="I88" s="19">
        <v>0.40329999999999999</v>
      </c>
      <c r="J88" s="45">
        <v>4.9700000000000001E-2</v>
      </c>
      <c r="K88" s="37">
        <v>10</v>
      </c>
      <c r="L88" s="37">
        <v>10</v>
      </c>
      <c r="M88" s="37">
        <v>3</v>
      </c>
      <c r="N88" s="37">
        <v>3</v>
      </c>
      <c r="O88" s="37">
        <v>8</v>
      </c>
      <c r="P88" s="37">
        <v>3</v>
      </c>
      <c r="Q88" s="19">
        <v>0.46610000000000001</v>
      </c>
    </row>
    <row r="89" spans="1:17">
      <c r="A89" s="38" t="s">
        <v>223</v>
      </c>
      <c r="B89" s="38" t="s">
        <v>45</v>
      </c>
      <c r="C89" s="38" t="s">
        <v>224</v>
      </c>
      <c r="D89" s="39">
        <v>53</v>
      </c>
      <c r="E89" s="43">
        <v>51.46</v>
      </c>
      <c r="F89" s="39">
        <f t="shared" si="2"/>
        <v>-1.5399999999999991</v>
      </c>
      <c r="G89" s="39">
        <v>52.8</v>
      </c>
      <c r="H89" s="43">
        <v>50.42</v>
      </c>
      <c r="I89" s="40">
        <v>0.626</v>
      </c>
      <c r="J89" s="45">
        <v>1.0436000000000001</v>
      </c>
      <c r="K89" s="41">
        <v>8</v>
      </c>
      <c r="L89" s="41">
        <v>10</v>
      </c>
      <c r="M89" s="41">
        <v>9</v>
      </c>
      <c r="N89" s="41">
        <v>10</v>
      </c>
      <c r="O89" s="41">
        <v>6</v>
      </c>
      <c r="P89" s="41">
        <v>10</v>
      </c>
      <c r="Q89" s="40">
        <v>1.1505000000000001</v>
      </c>
    </row>
    <row r="90" spans="1:17">
      <c r="A90" s="7" t="s">
        <v>148</v>
      </c>
      <c r="B90" s="7" t="s">
        <v>43</v>
      </c>
      <c r="C90" s="7" t="s">
        <v>143</v>
      </c>
      <c r="D90" s="36">
        <v>51</v>
      </c>
      <c r="E90" s="43">
        <v>45.32</v>
      </c>
      <c r="F90" s="36">
        <f t="shared" si="2"/>
        <v>-5.68</v>
      </c>
      <c r="G90" s="36">
        <v>50.6</v>
      </c>
      <c r="H90" s="43">
        <v>44.84</v>
      </c>
      <c r="I90" s="19">
        <v>0.45610000000000001</v>
      </c>
      <c r="J90" s="45">
        <v>0.49790000000000001</v>
      </c>
      <c r="K90" s="37">
        <v>9</v>
      </c>
      <c r="L90" s="37">
        <v>10</v>
      </c>
      <c r="M90" s="37">
        <v>3</v>
      </c>
      <c r="N90" s="37">
        <v>10</v>
      </c>
      <c r="O90" s="37">
        <v>9</v>
      </c>
      <c r="P90" s="37">
        <v>3</v>
      </c>
      <c r="Q90" s="19">
        <v>0.63859999999999995</v>
      </c>
    </row>
    <row r="91" spans="1:17">
      <c r="A91" s="38" t="s">
        <v>154</v>
      </c>
      <c r="B91" s="38" t="s">
        <v>43</v>
      </c>
      <c r="C91" s="38" t="s">
        <v>143</v>
      </c>
      <c r="D91" s="39">
        <v>41</v>
      </c>
      <c r="E91" s="43">
        <v>38.5</v>
      </c>
      <c r="F91" s="39">
        <f t="shared" si="2"/>
        <v>-2.5</v>
      </c>
      <c r="G91" s="39">
        <v>40.700000000000003</v>
      </c>
      <c r="H91" s="43">
        <v>38.25</v>
      </c>
      <c r="I91" s="40">
        <v>0.218</v>
      </c>
      <c r="J91" s="45">
        <v>0.23350000000000001</v>
      </c>
      <c r="K91" s="41">
        <v>9</v>
      </c>
      <c r="L91" s="41">
        <v>10</v>
      </c>
      <c r="M91" s="41">
        <v>3</v>
      </c>
      <c r="N91" s="41">
        <v>6</v>
      </c>
      <c r="O91" s="41">
        <v>7</v>
      </c>
      <c r="P91" s="41">
        <v>3</v>
      </c>
      <c r="Q91" s="40">
        <v>0.75019999999999998</v>
      </c>
    </row>
    <row r="92" spans="1:17">
      <c r="A92" s="7" t="s">
        <v>142</v>
      </c>
      <c r="B92" s="7" t="s">
        <v>43</v>
      </c>
      <c r="C92" s="7" t="s">
        <v>143</v>
      </c>
      <c r="D92" s="36">
        <v>55</v>
      </c>
      <c r="E92" s="43">
        <v>52.4</v>
      </c>
      <c r="F92" s="36">
        <f t="shared" si="2"/>
        <v>-2.6000000000000014</v>
      </c>
      <c r="G92" s="36">
        <v>54.3</v>
      </c>
      <c r="H92" s="43">
        <v>51.34</v>
      </c>
      <c r="I92" s="19">
        <v>0.92559999999999998</v>
      </c>
      <c r="J92" s="45">
        <v>1.1164000000000001</v>
      </c>
      <c r="K92" s="37">
        <v>9</v>
      </c>
      <c r="L92" s="37">
        <v>10</v>
      </c>
      <c r="M92" s="37">
        <v>8</v>
      </c>
      <c r="N92" s="37">
        <v>10</v>
      </c>
      <c r="O92" s="37">
        <v>10</v>
      </c>
      <c r="P92" s="37">
        <v>8</v>
      </c>
      <c r="Q92" s="19">
        <v>0.57869999999999999</v>
      </c>
    </row>
    <row r="93" spans="1:17">
      <c r="A93" s="38" t="s">
        <v>151</v>
      </c>
      <c r="B93" s="38" t="s">
        <v>43</v>
      </c>
      <c r="C93" s="38" t="s">
        <v>152</v>
      </c>
      <c r="D93" s="39">
        <v>47</v>
      </c>
      <c r="E93" s="43">
        <v>47.6</v>
      </c>
      <c r="F93" s="39">
        <f t="shared" si="2"/>
        <v>0.60000000000000142</v>
      </c>
      <c r="G93" s="39">
        <v>47</v>
      </c>
      <c r="H93" s="43">
        <v>46.7</v>
      </c>
      <c r="I93" s="40">
        <v>0.33529999999999999</v>
      </c>
      <c r="J93" s="45">
        <v>0.91149999999999998</v>
      </c>
      <c r="K93" s="41">
        <v>7</v>
      </c>
      <c r="L93" s="41">
        <v>10</v>
      </c>
      <c r="M93" s="41">
        <v>7</v>
      </c>
      <c r="N93" s="41">
        <v>9</v>
      </c>
      <c r="O93" s="41">
        <v>8</v>
      </c>
      <c r="P93" s="41">
        <v>8</v>
      </c>
      <c r="Q93" s="40">
        <v>0.79430000000000001</v>
      </c>
    </row>
    <row r="94" spans="1:17">
      <c r="A94" s="7" t="s">
        <v>157</v>
      </c>
      <c r="B94" s="7" t="s">
        <v>43</v>
      </c>
      <c r="C94" s="7" t="s">
        <v>152</v>
      </c>
      <c r="D94" s="36">
        <v>38</v>
      </c>
      <c r="E94" s="43">
        <v>30.03</v>
      </c>
      <c r="F94" s="36">
        <f t="shared" si="2"/>
        <v>-7.9699999999999989</v>
      </c>
      <c r="G94" s="36">
        <v>38.1</v>
      </c>
      <c r="H94" s="43">
        <v>29.31</v>
      </c>
      <c r="I94" s="19">
        <v>0.36220000000000002</v>
      </c>
      <c r="J94" s="45">
        <v>0.57620000000000005</v>
      </c>
      <c r="K94" s="37">
        <v>2</v>
      </c>
      <c r="L94" s="37">
        <v>3</v>
      </c>
      <c r="M94" s="37">
        <v>3</v>
      </c>
      <c r="N94" s="37">
        <v>3</v>
      </c>
      <c r="O94" s="37">
        <v>6</v>
      </c>
      <c r="P94" s="37">
        <v>5</v>
      </c>
      <c r="Q94" s="19">
        <v>1.1657</v>
      </c>
    </row>
    <row r="95" spans="1:17">
      <c r="A95" s="38" t="s">
        <v>159</v>
      </c>
      <c r="B95" s="38" t="s">
        <v>43</v>
      </c>
      <c r="C95" s="38" t="s">
        <v>152</v>
      </c>
      <c r="D95" s="39">
        <v>35</v>
      </c>
      <c r="E95" s="43">
        <v>36.54</v>
      </c>
      <c r="F95" s="39">
        <f t="shared" si="2"/>
        <v>1.5399999999999991</v>
      </c>
      <c r="G95" s="39">
        <v>34</v>
      </c>
      <c r="H95" s="43">
        <v>35.33</v>
      </c>
      <c r="I95" s="40">
        <v>0.73350000000000004</v>
      </c>
      <c r="J95" s="45">
        <v>1.1234</v>
      </c>
      <c r="K95" s="41">
        <v>2</v>
      </c>
      <c r="L95" s="41">
        <v>3</v>
      </c>
      <c r="M95" s="41">
        <v>7</v>
      </c>
      <c r="N95" s="41">
        <v>3</v>
      </c>
      <c r="O95" s="41">
        <v>8</v>
      </c>
      <c r="P95" s="41">
        <v>9</v>
      </c>
      <c r="Q95" s="40">
        <v>1.0346</v>
      </c>
    </row>
    <row r="96" spans="1:17">
      <c r="A96" s="7" t="s">
        <v>144</v>
      </c>
      <c r="B96" s="7" t="s">
        <v>43</v>
      </c>
      <c r="C96" s="7" t="s">
        <v>145</v>
      </c>
      <c r="D96" s="36">
        <v>53</v>
      </c>
      <c r="E96" s="43">
        <v>49.15</v>
      </c>
      <c r="F96" s="36">
        <f t="shared" si="2"/>
        <v>-3.8500000000000014</v>
      </c>
      <c r="G96" s="36">
        <v>51.8</v>
      </c>
      <c r="H96" s="43">
        <v>48.46</v>
      </c>
      <c r="I96" s="19">
        <v>0.87909999999999999</v>
      </c>
      <c r="J96" s="45">
        <v>0.71379999999999999</v>
      </c>
      <c r="K96" s="37">
        <v>10</v>
      </c>
      <c r="L96" s="37">
        <v>10</v>
      </c>
      <c r="M96" s="37">
        <v>6</v>
      </c>
      <c r="N96" s="37">
        <v>10</v>
      </c>
      <c r="O96" s="37">
        <v>7</v>
      </c>
      <c r="P96" s="37">
        <v>6</v>
      </c>
      <c r="Q96" s="19">
        <v>1.1214</v>
      </c>
    </row>
    <row r="97" spans="1:17">
      <c r="A97" s="38" t="s">
        <v>160</v>
      </c>
      <c r="B97" s="38" t="s">
        <v>43</v>
      </c>
      <c r="C97" s="38" t="s">
        <v>145</v>
      </c>
      <c r="D97" s="39">
        <v>32</v>
      </c>
      <c r="E97" s="43">
        <v>37.840000000000003</v>
      </c>
      <c r="F97" s="39">
        <f t="shared" si="2"/>
        <v>5.8400000000000034</v>
      </c>
      <c r="G97" s="39">
        <v>31.8</v>
      </c>
      <c r="H97" s="43">
        <v>36.840000000000003</v>
      </c>
      <c r="I97" s="40">
        <v>0.24149999999999999</v>
      </c>
      <c r="J97" s="45">
        <v>0.94299999999999995</v>
      </c>
      <c r="K97" s="41">
        <v>5</v>
      </c>
      <c r="L97" s="41">
        <v>5</v>
      </c>
      <c r="M97" s="41">
        <v>8</v>
      </c>
      <c r="N97" s="41">
        <v>3</v>
      </c>
      <c r="O97" s="41">
        <v>6</v>
      </c>
      <c r="P97" s="41">
        <v>9</v>
      </c>
      <c r="Q97" s="40">
        <v>0.72060000000000002</v>
      </c>
    </row>
    <row r="98" spans="1:17">
      <c r="A98" s="7" t="s">
        <v>158</v>
      </c>
      <c r="B98" s="7" t="s">
        <v>43</v>
      </c>
      <c r="C98" s="7" t="s">
        <v>145</v>
      </c>
      <c r="D98" s="36">
        <v>36</v>
      </c>
      <c r="E98" s="43">
        <v>38.92</v>
      </c>
      <c r="F98" s="36">
        <f t="shared" ref="F98:F119" si="3">E98-D98</f>
        <v>2.9200000000000017</v>
      </c>
      <c r="G98" s="36">
        <v>35.799999999999997</v>
      </c>
      <c r="H98" s="43">
        <v>37.58</v>
      </c>
      <c r="I98" s="19">
        <v>0.59930000000000005</v>
      </c>
      <c r="J98" s="45">
        <v>1.3351</v>
      </c>
      <c r="K98" s="37">
        <v>2</v>
      </c>
      <c r="L98" s="37">
        <v>3</v>
      </c>
      <c r="M98" s="37">
        <v>5</v>
      </c>
      <c r="N98" s="37">
        <v>10</v>
      </c>
      <c r="O98" s="37">
        <v>7</v>
      </c>
      <c r="P98" s="37">
        <v>5</v>
      </c>
      <c r="Q98" s="19">
        <v>0.54720000000000002</v>
      </c>
    </row>
    <row r="99" spans="1:17">
      <c r="A99" s="38" t="s">
        <v>140</v>
      </c>
      <c r="B99" s="38" t="s">
        <v>43</v>
      </c>
      <c r="C99" s="38" t="s">
        <v>141</v>
      </c>
      <c r="D99" s="39">
        <v>59</v>
      </c>
      <c r="E99" s="43">
        <v>52.64</v>
      </c>
      <c r="F99" s="39">
        <f t="shared" si="3"/>
        <v>-6.3599999999999994</v>
      </c>
      <c r="G99" s="39">
        <v>58.9</v>
      </c>
      <c r="H99" s="43">
        <v>51.7</v>
      </c>
      <c r="I99" s="40">
        <v>0.21160000000000001</v>
      </c>
      <c r="J99" s="45">
        <v>0.98180000000000001</v>
      </c>
      <c r="K99" s="41">
        <v>10</v>
      </c>
      <c r="L99" s="41">
        <v>10</v>
      </c>
      <c r="M99" s="41">
        <v>7</v>
      </c>
      <c r="N99" s="41">
        <v>10</v>
      </c>
      <c r="O99" s="41">
        <v>10</v>
      </c>
      <c r="P99" s="41">
        <v>7</v>
      </c>
      <c r="Q99" s="40">
        <v>1.1376999999999999</v>
      </c>
    </row>
    <row r="100" spans="1:17">
      <c r="A100" s="7" t="s">
        <v>155</v>
      </c>
      <c r="B100" s="7" t="s">
        <v>43</v>
      </c>
      <c r="C100" s="7" t="s">
        <v>141</v>
      </c>
      <c r="D100" s="36">
        <v>40</v>
      </c>
      <c r="E100" s="43">
        <v>32.74</v>
      </c>
      <c r="F100" s="36">
        <f t="shared" si="3"/>
        <v>-7.259999999999998</v>
      </c>
      <c r="G100" s="36">
        <v>39.4</v>
      </c>
      <c r="H100" s="43">
        <v>31.87</v>
      </c>
      <c r="I100" s="19">
        <v>0.86050000000000004</v>
      </c>
      <c r="J100" s="45">
        <v>0.95879999999999999</v>
      </c>
      <c r="K100" s="37">
        <v>5</v>
      </c>
      <c r="L100" s="37">
        <v>10</v>
      </c>
      <c r="M100" s="37">
        <v>6</v>
      </c>
      <c r="N100" s="37">
        <v>3</v>
      </c>
      <c r="O100" s="37">
        <v>9</v>
      </c>
      <c r="P100" s="37">
        <v>5</v>
      </c>
      <c r="Q100" s="19">
        <v>0.66920000000000002</v>
      </c>
    </row>
    <row r="101" spans="1:17">
      <c r="A101" s="38" t="s">
        <v>156</v>
      </c>
      <c r="B101" s="38" t="s">
        <v>43</v>
      </c>
      <c r="C101" s="38" t="s">
        <v>150</v>
      </c>
      <c r="D101" s="39">
        <v>39</v>
      </c>
      <c r="E101" s="43">
        <v>43.22</v>
      </c>
      <c r="F101" s="39">
        <f t="shared" si="3"/>
        <v>4.2199999999999989</v>
      </c>
      <c r="G101" s="39">
        <v>38.9</v>
      </c>
      <c r="H101" s="43">
        <v>42.78</v>
      </c>
      <c r="I101" s="40">
        <v>0.2009</v>
      </c>
      <c r="J101" s="45">
        <v>0.4219</v>
      </c>
      <c r="K101" s="41">
        <v>10</v>
      </c>
      <c r="L101" s="41">
        <v>10</v>
      </c>
      <c r="M101" s="41">
        <v>5</v>
      </c>
      <c r="N101" s="41">
        <v>8</v>
      </c>
      <c r="O101" s="41">
        <v>4</v>
      </c>
      <c r="P101" s="41">
        <v>5</v>
      </c>
      <c r="Q101" s="40">
        <v>1.7431000000000001</v>
      </c>
    </row>
    <row r="102" spans="1:17">
      <c r="A102" s="7" t="s">
        <v>149</v>
      </c>
      <c r="B102" s="7" t="s">
        <v>43</v>
      </c>
      <c r="C102" s="7" t="s">
        <v>150</v>
      </c>
      <c r="D102" s="36">
        <v>48</v>
      </c>
      <c r="E102" s="43">
        <v>43.28</v>
      </c>
      <c r="F102" s="36">
        <f t="shared" si="3"/>
        <v>-4.7199999999999989</v>
      </c>
      <c r="G102" s="36">
        <v>47.7</v>
      </c>
      <c r="H102" s="43">
        <v>42.88</v>
      </c>
      <c r="I102" s="19">
        <v>0.20899999999999999</v>
      </c>
      <c r="J102" s="45">
        <v>0.3876</v>
      </c>
      <c r="K102" s="37">
        <v>9</v>
      </c>
      <c r="L102" s="37">
        <v>10</v>
      </c>
      <c r="M102" s="37">
        <v>3</v>
      </c>
      <c r="N102" s="37">
        <v>10</v>
      </c>
      <c r="O102" s="37">
        <v>6</v>
      </c>
      <c r="P102" s="37">
        <v>3</v>
      </c>
      <c r="Q102" s="19">
        <v>1.0552999999999999</v>
      </c>
    </row>
    <row r="103" spans="1:17">
      <c r="A103" s="38" t="s">
        <v>146</v>
      </c>
      <c r="B103" s="38" t="s">
        <v>43</v>
      </c>
      <c r="C103" s="38" t="s">
        <v>147</v>
      </c>
      <c r="D103" s="39">
        <v>53</v>
      </c>
      <c r="E103" s="43">
        <v>46.23</v>
      </c>
      <c r="F103" s="39">
        <f t="shared" si="3"/>
        <v>-6.7700000000000031</v>
      </c>
      <c r="G103" s="39">
        <v>52.1</v>
      </c>
      <c r="H103" s="43">
        <v>45.58</v>
      </c>
      <c r="I103" s="40">
        <v>1.1767000000000001</v>
      </c>
      <c r="J103" s="45">
        <v>0.61070000000000002</v>
      </c>
      <c r="K103" s="41">
        <v>8</v>
      </c>
      <c r="L103" s="41">
        <v>10</v>
      </c>
      <c r="M103" s="41">
        <v>6</v>
      </c>
      <c r="N103" s="41">
        <v>10</v>
      </c>
      <c r="O103" s="41">
        <v>4</v>
      </c>
      <c r="P103" s="41">
        <v>7</v>
      </c>
      <c r="Q103" s="40">
        <v>1.2776000000000001</v>
      </c>
    </row>
    <row r="104" spans="1:17">
      <c r="A104" s="7" t="s">
        <v>153</v>
      </c>
      <c r="B104" s="7" t="s">
        <v>43</v>
      </c>
      <c r="C104" s="7" t="s">
        <v>147</v>
      </c>
      <c r="D104" s="36">
        <v>43</v>
      </c>
      <c r="E104" s="43">
        <v>44.52</v>
      </c>
      <c r="F104" s="36">
        <f t="shared" si="3"/>
        <v>1.5200000000000031</v>
      </c>
      <c r="G104" s="36">
        <v>42.9</v>
      </c>
      <c r="H104" s="43">
        <v>43.59</v>
      </c>
      <c r="I104" s="19">
        <v>0.22320000000000001</v>
      </c>
      <c r="J104" s="45">
        <v>0.88690000000000002</v>
      </c>
      <c r="K104" s="37">
        <v>8</v>
      </c>
      <c r="L104" s="37">
        <v>5</v>
      </c>
      <c r="M104" s="37">
        <v>8</v>
      </c>
      <c r="N104" s="37">
        <v>3</v>
      </c>
      <c r="O104" s="37">
        <v>10</v>
      </c>
      <c r="P104" s="37">
        <v>9</v>
      </c>
      <c r="Q104" s="19">
        <v>0.39539999999999997</v>
      </c>
    </row>
    <row r="105" spans="1:17">
      <c r="A105" s="38" t="s">
        <v>114</v>
      </c>
      <c r="B105" s="38" t="s">
        <v>49</v>
      </c>
      <c r="C105" s="38" t="s">
        <v>107</v>
      </c>
      <c r="D105" s="39">
        <v>34</v>
      </c>
      <c r="E105" s="43">
        <v>36.33</v>
      </c>
      <c r="F105" s="39">
        <f t="shared" si="3"/>
        <v>2.3299999999999983</v>
      </c>
      <c r="G105" s="39">
        <v>33.9</v>
      </c>
      <c r="H105" s="43">
        <v>35.97</v>
      </c>
      <c r="I105" s="40">
        <v>0.30769999999999997</v>
      </c>
      <c r="J105" s="45">
        <v>0.2903</v>
      </c>
      <c r="K105" s="41">
        <v>9</v>
      </c>
      <c r="L105" s="41">
        <v>5</v>
      </c>
      <c r="M105" s="41">
        <v>3</v>
      </c>
      <c r="N105" s="41">
        <v>3</v>
      </c>
      <c r="O105" s="41">
        <v>8</v>
      </c>
      <c r="P105" s="41">
        <v>3</v>
      </c>
      <c r="Q105" s="40">
        <v>0.76</v>
      </c>
    </row>
    <row r="106" spans="1:17">
      <c r="A106" s="7" t="s">
        <v>118</v>
      </c>
      <c r="B106" s="7" t="s">
        <v>49</v>
      </c>
      <c r="C106" s="7" t="s">
        <v>107</v>
      </c>
      <c r="D106" s="36">
        <v>30</v>
      </c>
      <c r="E106" s="43">
        <v>45.16</v>
      </c>
      <c r="F106" s="36">
        <f t="shared" si="3"/>
        <v>15.159999999999997</v>
      </c>
      <c r="G106" s="36">
        <v>29.7</v>
      </c>
      <c r="H106" s="43">
        <v>43.73</v>
      </c>
      <c r="I106" s="19">
        <v>0.40810000000000002</v>
      </c>
      <c r="J106" s="45">
        <v>1.3547</v>
      </c>
      <c r="K106" s="37">
        <v>2</v>
      </c>
      <c r="L106" s="37">
        <v>3</v>
      </c>
      <c r="M106" s="37">
        <v>7</v>
      </c>
      <c r="N106" s="37">
        <v>10</v>
      </c>
      <c r="O106" s="37">
        <v>7</v>
      </c>
      <c r="P106" s="37">
        <v>9</v>
      </c>
      <c r="Q106" s="19">
        <v>0.79959999999999998</v>
      </c>
    </row>
    <row r="107" spans="1:17">
      <c r="A107" s="38" t="s">
        <v>117</v>
      </c>
      <c r="B107" s="38" t="s">
        <v>49</v>
      </c>
      <c r="C107" s="38" t="s">
        <v>107</v>
      </c>
      <c r="D107" s="39">
        <v>31</v>
      </c>
      <c r="E107" s="43">
        <v>35.950000000000003</v>
      </c>
      <c r="F107" s="39">
        <f t="shared" si="3"/>
        <v>4.9500000000000028</v>
      </c>
      <c r="G107" s="39">
        <v>31</v>
      </c>
      <c r="H107" s="43">
        <v>35.43</v>
      </c>
      <c r="I107" s="40">
        <v>0.1774</v>
      </c>
      <c r="J107" s="45">
        <v>0.49640000000000001</v>
      </c>
      <c r="K107" s="41">
        <v>6</v>
      </c>
      <c r="L107" s="41">
        <v>10</v>
      </c>
      <c r="M107" s="41">
        <v>6</v>
      </c>
      <c r="N107" s="41">
        <v>3</v>
      </c>
      <c r="O107" s="41">
        <v>7</v>
      </c>
      <c r="P107" s="41">
        <v>7</v>
      </c>
      <c r="Q107" s="40">
        <v>0.15609999999999999</v>
      </c>
    </row>
    <row r="108" spans="1:17">
      <c r="A108" s="7" t="s">
        <v>119</v>
      </c>
      <c r="B108" s="7" t="s">
        <v>49</v>
      </c>
      <c r="C108" s="7" t="s">
        <v>107</v>
      </c>
      <c r="D108" s="36">
        <v>29</v>
      </c>
      <c r="E108" s="43">
        <v>36.53</v>
      </c>
      <c r="F108" s="36">
        <f t="shared" si="3"/>
        <v>7.5300000000000011</v>
      </c>
      <c r="G108" s="36">
        <v>28.7</v>
      </c>
      <c r="H108" s="43">
        <v>35.909999999999997</v>
      </c>
      <c r="I108" s="19">
        <v>0.17269999999999999</v>
      </c>
      <c r="J108" s="45">
        <v>0.53810000000000002</v>
      </c>
      <c r="K108" s="37">
        <v>8</v>
      </c>
      <c r="L108" s="37">
        <v>3</v>
      </c>
      <c r="M108" s="37">
        <v>5</v>
      </c>
      <c r="N108" s="37">
        <v>3</v>
      </c>
      <c r="O108" s="37">
        <v>6</v>
      </c>
      <c r="P108" s="37">
        <v>5</v>
      </c>
      <c r="Q108" s="19">
        <v>0.65500000000000003</v>
      </c>
    </row>
    <row r="109" spans="1:17">
      <c r="A109" s="38" t="s">
        <v>111</v>
      </c>
      <c r="B109" s="38" t="s">
        <v>49</v>
      </c>
      <c r="C109" s="38" t="s">
        <v>107</v>
      </c>
      <c r="D109" s="39">
        <v>35</v>
      </c>
      <c r="E109" s="43">
        <v>37.909999999999997</v>
      </c>
      <c r="F109" s="39">
        <f t="shared" si="3"/>
        <v>2.9099999999999966</v>
      </c>
      <c r="G109" s="39">
        <v>34.200000000000003</v>
      </c>
      <c r="H109" s="43">
        <v>36.64</v>
      </c>
      <c r="I109" s="40">
        <v>0.46700000000000003</v>
      </c>
      <c r="J109" s="45">
        <v>1.2751999999999999</v>
      </c>
      <c r="K109" s="41">
        <v>2</v>
      </c>
      <c r="L109" s="41">
        <v>5</v>
      </c>
      <c r="M109" s="41">
        <v>5</v>
      </c>
      <c r="N109" s="41">
        <v>10</v>
      </c>
      <c r="O109" s="41">
        <v>6</v>
      </c>
      <c r="P109" s="41">
        <v>5</v>
      </c>
      <c r="Q109" s="40">
        <v>1.0012000000000001</v>
      </c>
    </row>
    <row r="110" spans="1:17">
      <c r="A110" s="7" t="s">
        <v>115</v>
      </c>
      <c r="B110" s="7" t="s">
        <v>49</v>
      </c>
      <c r="C110" s="7" t="s">
        <v>107</v>
      </c>
      <c r="D110" s="36">
        <v>34</v>
      </c>
      <c r="E110" s="43">
        <v>40.46</v>
      </c>
      <c r="F110" s="36">
        <f t="shared" si="3"/>
        <v>6.4600000000000009</v>
      </c>
      <c r="G110" s="36">
        <v>34.1</v>
      </c>
      <c r="H110" s="43">
        <v>39.21</v>
      </c>
      <c r="I110" s="19">
        <v>0.1963</v>
      </c>
      <c r="J110" s="45">
        <v>1.2049000000000001</v>
      </c>
      <c r="K110" s="37">
        <v>2</v>
      </c>
      <c r="L110" s="37">
        <v>5</v>
      </c>
      <c r="M110" s="37">
        <v>7</v>
      </c>
      <c r="N110" s="37">
        <v>10</v>
      </c>
      <c r="O110" s="37">
        <v>4</v>
      </c>
      <c r="P110" s="37">
        <v>8</v>
      </c>
      <c r="Q110" s="19">
        <v>0.18390000000000001</v>
      </c>
    </row>
    <row r="111" spans="1:17">
      <c r="A111" s="38" t="s">
        <v>121</v>
      </c>
      <c r="B111" s="38" t="s">
        <v>49</v>
      </c>
      <c r="C111" s="38" t="s">
        <v>107</v>
      </c>
      <c r="D111" s="39">
        <v>25</v>
      </c>
      <c r="E111" s="43">
        <v>30</v>
      </c>
      <c r="F111" s="39">
        <f t="shared" si="3"/>
        <v>5</v>
      </c>
      <c r="G111" s="39">
        <v>25.2</v>
      </c>
      <c r="H111" s="43">
        <v>29.53</v>
      </c>
      <c r="I111" s="40">
        <v>0.14949999999999999</v>
      </c>
      <c r="J111" s="45">
        <v>0.37619999999999998</v>
      </c>
      <c r="K111" s="41">
        <v>6</v>
      </c>
      <c r="L111" s="41">
        <v>3</v>
      </c>
      <c r="M111" s="41">
        <v>3</v>
      </c>
      <c r="N111" s="41">
        <v>3</v>
      </c>
      <c r="O111" s="41">
        <v>4</v>
      </c>
      <c r="P111" s="41">
        <v>3</v>
      </c>
      <c r="Q111" s="40">
        <v>0.83740000000000003</v>
      </c>
    </row>
    <row r="112" spans="1:17">
      <c r="A112" s="7" t="s">
        <v>120</v>
      </c>
      <c r="B112" s="7" t="s">
        <v>49</v>
      </c>
      <c r="C112" s="7" t="s">
        <v>107</v>
      </c>
      <c r="D112" s="36">
        <v>29</v>
      </c>
      <c r="E112" s="43">
        <v>28.19</v>
      </c>
      <c r="F112" s="36">
        <f t="shared" si="3"/>
        <v>-0.80999999999999872</v>
      </c>
      <c r="G112" s="36">
        <v>19.100000000000001</v>
      </c>
      <c r="H112" s="43">
        <v>27.03</v>
      </c>
      <c r="I112" s="19">
        <v>10.240399999999999</v>
      </c>
      <c r="J112" s="45">
        <v>1.1096999999999999</v>
      </c>
      <c r="K112" s="37">
        <v>2</v>
      </c>
      <c r="L112" s="37">
        <v>3</v>
      </c>
      <c r="M112" s="37">
        <v>5</v>
      </c>
      <c r="N112" s="37">
        <v>3</v>
      </c>
      <c r="O112" s="37">
        <v>4</v>
      </c>
      <c r="P112" s="37">
        <v>5</v>
      </c>
      <c r="Q112" s="19">
        <v>2.8767</v>
      </c>
    </row>
    <row r="113" spans="1:17">
      <c r="A113" s="38" t="s">
        <v>112</v>
      </c>
      <c r="B113" s="38" t="s">
        <v>49</v>
      </c>
      <c r="C113" s="38" t="s">
        <v>107</v>
      </c>
      <c r="D113" s="39">
        <v>35</v>
      </c>
      <c r="E113" s="43">
        <v>37.85</v>
      </c>
      <c r="F113" s="39">
        <f t="shared" si="3"/>
        <v>2.8500000000000014</v>
      </c>
      <c r="G113" s="39">
        <v>34.5</v>
      </c>
      <c r="H113" s="43">
        <v>37.5</v>
      </c>
      <c r="I113" s="40">
        <v>0.17430000000000001</v>
      </c>
      <c r="J113" s="45">
        <v>0.27110000000000001</v>
      </c>
      <c r="K113" s="41">
        <v>10</v>
      </c>
      <c r="L113" s="41">
        <v>5</v>
      </c>
      <c r="M113" s="41">
        <v>3</v>
      </c>
      <c r="N113" s="41">
        <v>3</v>
      </c>
      <c r="O113" s="41">
        <v>8</v>
      </c>
      <c r="P113" s="41">
        <v>3</v>
      </c>
      <c r="Q113" s="40">
        <v>1.3249</v>
      </c>
    </row>
    <row r="114" spans="1:17">
      <c r="A114" s="7" t="s">
        <v>108</v>
      </c>
      <c r="B114" s="7" t="s">
        <v>49</v>
      </c>
      <c r="C114" s="7" t="s">
        <v>107</v>
      </c>
      <c r="D114" s="36">
        <v>42</v>
      </c>
      <c r="E114" s="43">
        <v>37.94</v>
      </c>
      <c r="F114" s="36">
        <f t="shared" si="3"/>
        <v>-4.0600000000000023</v>
      </c>
      <c r="G114" s="36">
        <v>42</v>
      </c>
      <c r="H114" s="43">
        <v>37.25</v>
      </c>
      <c r="I114" s="19">
        <v>0.17349999999999999</v>
      </c>
      <c r="J114" s="45">
        <v>0.62529999999999997</v>
      </c>
      <c r="K114" s="37">
        <v>8</v>
      </c>
      <c r="L114" s="37">
        <v>3</v>
      </c>
      <c r="M114" s="37">
        <v>5</v>
      </c>
      <c r="N114" s="37">
        <v>3</v>
      </c>
      <c r="O114" s="37">
        <v>8</v>
      </c>
      <c r="P114" s="37">
        <v>5</v>
      </c>
      <c r="Q114" s="19">
        <v>0.51529999999999998</v>
      </c>
    </row>
    <row r="115" spans="1:17">
      <c r="A115" s="38" t="s">
        <v>106</v>
      </c>
      <c r="B115" s="38" t="s">
        <v>49</v>
      </c>
      <c r="C115" s="38" t="s">
        <v>107</v>
      </c>
      <c r="D115" s="39">
        <v>43</v>
      </c>
      <c r="E115" s="43">
        <v>37.86</v>
      </c>
      <c r="F115" s="39">
        <f t="shared" si="3"/>
        <v>-5.1400000000000006</v>
      </c>
      <c r="G115" s="39">
        <v>43</v>
      </c>
      <c r="H115" s="43">
        <v>37.82</v>
      </c>
      <c r="I115" s="40">
        <v>0.22839999999999999</v>
      </c>
      <c r="J115" s="45">
        <v>-0.1055</v>
      </c>
      <c r="K115" s="41">
        <v>9</v>
      </c>
      <c r="L115" s="41">
        <v>8</v>
      </c>
      <c r="M115" s="41">
        <v>3</v>
      </c>
      <c r="N115" s="41">
        <v>3</v>
      </c>
      <c r="O115" s="41">
        <v>6</v>
      </c>
      <c r="P115" s="41">
        <v>5</v>
      </c>
      <c r="Q115" s="40">
        <v>0.98099999999999998</v>
      </c>
    </row>
    <row r="116" spans="1:17">
      <c r="A116" s="7" t="s">
        <v>109</v>
      </c>
      <c r="B116" s="7" t="s">
        <v>49</v>
      </c>
      <c r="C116" s="7" t="s">
        <v>107</v>
      </c>
      <c r="D116" s="36">
        <v>38</v>
      </c>
      <c r="E116" s="43">
        <v>34.56</v>
      </c>
      <c r="F116" s="36">
        <f t="shared" si="3"/>
        <v>-3.4399999999999977</v>
      </c>
      <c r="G116" s="36">
        <v>37.200000000000003</v>
      </c>
      <c r="H116" s="43">
        <v>34.06</v>
      </c>
      <c r="I116" s="19">
        <v>0.50639999999999996</v>
      </c>
      <c r="J116" s="45">
        <v>0.48959999999999998</v>
      </c>
      <c r="K116" s="37">
        <v>7</v>
      </c>
      <c r="L116" s="37">
        <v>9</v>
      </c>
      <c r="M116" s="37">
        <v>5</v>
      </c>
      <c r="N116" s="37">
        <v>3</v>
      </c>
      <c r="O116" s="37">
        <v>7</v>
      </c>
      <c r="P116" s="37">
        <v>5</v>
      </c>
      <c r="Q116" s="19">
        <v>0.5444</v>
      </c>
    </row>
    <row r="117" spans="1:17">
      <c r="A117" s="38" t="s">
        <v>110</v>
      </c>
      <c r="B117" s="38" t="s">
        <v>49</v>
      </c>
      <c r="C117" s="38" t="s">
        <v>107</v>
      </c>
      <c r="D117" s="39">
        <v>37</v>
      </c>
      <c r="E117" s="43">
        <v>41.53</v>
      </c>
      <c r="F117" s="39">
        <f t="shared" si="3"/>
        <v>4.5300000000000011</v>
      </c>
      <c r="G117" s="39">
        <v>37</v>
      </c>
      <c r="H117" s="43">
        <v>40.28</v>
      </c>
      <c r="I117" s="40">
        <v>0.28689999999999999</v>
      </c>
      <c r="J117" s="45">
        <v>1.2514000000000001</v>
      </c>
      <c r="K117" s="41">
        <v>6</v>
      </c>
      <c r="L117" s="41">
        <v>9</v>
      </c>
      <c r="M117" s="41">
        <v>9</v>
      </c>
      <c r="N117" s="41">
        <v>3</v>
      </c>
      <c r="O117" s="41">
        <v>7</v>
      </c>
      <c r="P117" s="41">
        <v>10</v>
      </c>
      <c r="Q117" s="40">
        <v>4.0143000000000004</v>
      </c>
    </row>
    <row r="118" spans="1:17">
      <c r="A118" s="7" t="s">
        <v>116</v>
      </c>
      <c r="B118" s="7" t="s">
        <v>49</v>
      </c>
      <c r="C118" s="7" t="s">
        <v>107</v>
      </c>
      <c r="D118" s="36">
        <v>32</v>
      </c>
      <c r="E118" s="43">
        <v>36</v>
      </c>
      <c r="F118" s="36">
        <f t="shared" si="3"/>
        <v>4</v>
      </c>
      <c r="G118" s="36">
        <v>31.8</v>
      </c>
      <c r="H118" s="43">
        <v>35.31</v>
      </c>
      <c r="I118" s="19">
        <v>0.67469999999999997</v>
      </c>
      <c r="J118" s="45">
        <v>0.71970000000000001</v>
      </c>
      <c r="K118" s="37">
        <v>4</v>
      </c>
      <c r="L118" s="37">
        <v>10</v>
      </c>
      <c r="M118" s="37">
        <v>3</v>
      </c>
      <c r="N118" s="37">
        <v>9</v>
      </c>
      <c r="O118" s="37">
        <v>7</v>
      </c>
      <c r="P118" s="37">
        <v>3</v>
      </c>
      <c r="Q118" s="19">
        <v>0.53680000000000005</v>
      </c>
    </row>
    <row r="119" spans="1:17">
      <c r="A119" s="38" t="s">
        <v>113</v>
      </c>
      <c r="B119" s="38" t="s">
        <v>49</v>
      </c>
      <c r="C119" s="38" t="s">
        <v>107</v>
      </c>
      <c r="D119" s="39">
        <v>35</v>
      </c>
      <c r="E119" s="43">
        <v>41.03</v>
      </c>
      <c r="F119" s="39">
        <f t="shared" si="3"/>
        <v>6.0300000000000011</v>
      </c>
      <c r="G119" s="39">
        <v>34.9</v>
      </c>
      <c r="H119" s="43">
        <v>40.450000000000003</v>
      </c>
      <c r="I119" s="40">
        <v>0.21260000000000001</v>
      </c>
      <c r="J119" s="45">
        <v>0.52810000000000001</v>
      </c>
      <c r="K119" s="41">
        <v>8</v>
      </c>
      <c r="L119" s="41">
        <v>5</v>
      </c>
      <c r="M119" s="41">
        <v>3</v>
      </c>
      <c r="N119" s="41">
        <v>8</v>
      </c>
      <c r="O119" s="41">
        <v>7</v>
      </c>
      <c r="P119" s="41">
        <v>3</v>
      </c>
      <c r="Q119" s="40">
        <v>0.70979999999999999</v>
      </c>
    </row>
  </sheetData>
  <conditionalFormatting sqref="F2:F119">
    <cfRule type="colorScale" priority="1">
      <colorScale>
        <cfvo type="min"/>
        <cfvo type="num" val="0"/>
        <cfvo type="max"/>
        <color rgb="FFF1B0A8"/>
        <color rgb="FFFFFFFF"/>
        <color rgb="FF9FD5A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74BB-C811-42F9-B656-3368DBDFD822}">
  <dimension ref="A1:X133"/>
  <sheetViews>
    <sheetView workbookViewId="0">
      <pane xSplit="1" ySplit="1" topLeftCell="B78" activePane="bottomRight" state="frozen"/>
      <selection pane="topRight"/>
      <selection pane="bottomLeft"/>
      <selection pane="bottomRight" activeCell="V1" sqref="V1"/>
    </sheetView>
  </sheetViews>
  <sheetFormatPr defaultRowHeight="14.5"/>
  <cols>
    <col min="1" max="1" width="11" customWidth="1"/>
    <col min="2" max="2" width="26" customWidth="1"/>
    <col min="3" max="3" width="10.36328125" bestFit="1" customWidth="1"/>
    <col min="4" max="4" width="14.08984375" hidden="1" customWidth="1"/>
    <col min="5" max="11" width="8" hidden="1" customWidth="1"/>
    <col min="16" max="16" width="9" customWidth="1"/>
    <col min="17" max="17" width="7.453125" customWidth="1"/>
    <col min="20" max="20" width="9.90625" customWidth="1"/>
    <col min="22" max="22" width="8.90625" bestFit="1" customWidth="1"/>
    <col min="23" max="23" width="6.26953125" customWidth="1"/>
  </cols>
  <sheetData>
    <row r="1" spans="1:23" ht="32" customHeight="1">
      <c r="A1" s="1" t="s">
        <v>83</v>
      </c>
      <c r="B1" s="1" t="s">
        <v>21</v>
      </c>
      <c r="C1" s="1" t="s">
        <v>84</v>
      </c>
      <c r="D1" s="1" t="s">
        <v>85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47" t="s">
        <v>243</v>
      </c>
      <c r="M1" s="47" t="s">
        <v>244</v>
      </c>
      <c r="N1" s="47" t="s">
        <v>245</v>
      </c>
      <c r="O1" s="47" t="s">
        <v>246</v>
      </c>
      <c r="P1" s="51" t="s">
        <v>261</v>
      </c>
      <c r="Q1" s="57" t="s">
        <v>248</v>
      </c>
      <c r="R1" s="47" t="s">
        <v>253</v>
      </c>
      <c r="S1" s="57" t="s">
        <v>249</v>
      </c>
      <c r="T1" s="47" t="s">
        <v>252</v>
      </c>
      <c r="U1" s="57" t="s">
        <v>250</v>
      </c>
      <c r="V1" s="47" t="s">
        <v>251</v>
      </c>
      <c r="W1" s="75" t="s">
        <v>289</v>
      </c>
    </row>
    <row r="2" spans="1:23">
      <c r="A2" s="7" t="s">
        <v>210</v>
      </c>
      <c r="B2" s="7" t="s">
        <v>48</v>
      </c>
      <c r="C2" s="7" t="s">
        <v>207</v>
      </c>
      <c r="D2" s="36">
        <v>55</v>
      </c>
      <c r="E2" s="37">
        <v>10</v>
      </c>
      <c r="F2" s="37">
        <v>5</v>
      </c>
      <c r="G2" s="37">
        <v>8</v>
      </c>
      <c r="H2" s="37">
        <v>5</v>
      </c>
      <c r="I2" s="37">
        <v>7</v>
      </c>
      <c r="J2" s="37">
        <v>9</v>
      </c>
      <c r="K2" s="19">
        <v>0.60399999999999998</v>
      </c>
      <c r="L2" s="48">
        <v>0.78</v>
      </c>
      <c r="M2" s="48">
        <v>1.74</v>
      </c>
      <c r="N2" s="48">
        <v>1.57</v>
      </c>
      <c r="O2" s="48">
        <v>1.89</v>
      </c>
      <c r="P2" s="52">
        <v>18563.810000000001</v>
      </c>
      <c r="Q2" s="46">
        <v>2075.272923</v>
      </c>
      <c r="R2" s="52">
        <v>19311.169999999998</v>
      </c>
      <c r="S2" s="46">
        <v>1973.0442210000001</v>
      </c>
      <c r="T2" s="52">
        <v>19656.47</v>
      </c>
      <c r="U2" s="46">
        <v>2310.9201130000001</v>
      </c>
      <c r="V2" s="52">
        <v>19205.5</v>
      </c>
      <c r="W2" s="59">
        <v>522.22</v>
      </c>
    </row>
    <row r="3" spans="1:23">
      <c r="A3" s="38" t="s">
        <v>222</v>
      </c>
      <c r="B3" s="38" t="s">
        <v>48</v>
      </c>
      <c r="C3" s="38" t="s">
        <v>207</v>
      </c>
      <c r="D3" s="39">
        <v>36</v>
      </c>
      <c r="E3" s="41">
        <v>2</v>
      </c>
      <c r="F3" s="41">
        <v>3</v>
      </c>
      <c r="G3" s="41">
        <v>5</v>
      </c>
      <c r="H3" s="41">
        <v>3</v>
      </c>
      <c r="I3" s="41">
        <v>4</v>
      </c>
      <c r="J3" s="41">
        <v>5</v>
      </c>
      <c r="K3" s="40">
        <v>-0.67190000000000005</v>
      </c>
      <c r="L3" s="48">
        <v>19.670000000000002</v>
      </c>
      <c r="M3" s="48">
        <v>12.42</v>
      </c>
      <c r="N3" s="48">
        <v>5.52</v>
      </c>
      <c r="O3" s="48">
        <v>8.1999999999999993</v>
      </c>
      <c r="P3" s="52">
        <v>111140.66</v>
      </c>
      <c r="Q3" s="46">
        <v>15672.692730000001</v>
      </c>
      <c r="R3" s="52">
        <v>85140.6</v>
      </c>
      <c r="S3" s="46">
        <v>2887.3519339999998</v>
      </c>
      <c r="T3" s="52">
        <v>115487.86</v>
      </c>
      <c r="U3" s="46">
        <v>-11373.931</v>
      </c>
      <c r="V3" s="52">
        <v>114039.58</v>
      </c>
      <c r="W3" s="60">
        <v>359.91</v>
      </c>
    </row>
    <row r="4" spans="1:23" ht="25">
      <c r="A4" s="7" t="s">
        <v>206</v>
      </c>
      <c r="B4" s="7" t="s">
        <v>48</v>
      </c>
      <c r="C4" s="7" t="s">
        <v>207</v>
      </c>
      <c r="D4" s="36">
        <v>58</v>
      </c>
      <c r="E4" s="37">
        <v>10</v>
      </c>
      <c r="F4" s="37">
        <v>5</v>
      </c>
      <c r="G4" s="37">
        <v>7</v>
      </c>
      <c r="H4" s="37">
        <v>3</v>
      </c>
      <c r="I4" s="37">
        <v>10</v>
      </c>
      <c r="J4" s="37">
        <v>10</v>
      </c>
      <c r="K4" s="19">
        <v>1.2719</v>
      </c>
      <c r="L4" s="49">
        <v>0</v>
      </c>
      <c r="M4" s="49">
        <v>9.2899999999999991</v>
      </c>
      <c r="N4" s="49">
        <v>2.79</v>
      </c>
      <c r="O4" s="49">
        <v>7</v>
      </c>
      <c r="P4" s="53">
        <v>18610.080000000002</v>
      </c>
      <c r="Q4" s="46">
        <v>1664.2910199999999</v>
      </c>
      <c r="R4" s="53">
        <v>14201.61</v>
      </c>
      <c r="S4" s="46">
        <v>1180.3727289999999</v>
      </c>
      <c r="T4" s="53">
        <v>13582.19</v>
      </c>
      <c r="U4" s="46">
        <v>1038.9412170000001</v>
      </c>
      <c r="V4" s="53">
        <v>16487.45</v>
      </c>
      <c r="W4" s="61">
        <v>2140.33</v>
      </c>
    </row>
    <row r="5" spans="1:23">
      <c r="A5" s="38" t="s">
        <v>213</v>
      </c>
      <c r="B5" s="38" t="s">
        <v>48</v>
      </c>
      <c r="C5" s="38" t="s">
        <v>207</v>
      </c>
      <c r="D5" s="39">
        <v>50</v>
      </c>
      <c r="E5" s="41">
        <v>7</v>
      </c>
      <c r="F5" s="41">
        <v>3</v>
      </c>
      <c r="G5" s="41">
        <v>9</v>
      </c>
      <c r="H5" s="41">
        <v>3</v>
      </c>
      <c r="I5" s="41">
        <v>8</v>
      </c>
      <c r="J5" s="41">
        <v>10</v>
      </c>
      <c r="K5" s="40">
        <v>1.2699</v>
      </c>
      <c r="L5" s="48">
        <v>7.58</v>
      </c>
      <c r="M5" s="48">
        <v>7.2</v>
      </c>
      <c r="N5" s="48">
        <v>4.8</v>
      </c>
      <c r="O5" s="48">
        <v>5.04</v>
      </c>
      <c r="P5" s="52">
        <v>2349.6</v>
      </c>
      <c r="Q5" s="46">
        <v>428.763013</v>
      </c>
      <c r="R5" s="52">
        <v>1539.27</v>
      </c>
      <c r="S5" s="46">
        <v>177.04926699999999</v>
      </c>
      <c r="T5" s="52">
        <v>1784.65</v>
      </c>
      <c r="U5" s="46">
        <v>204.73506699999999</v>
      </c>
      <c r="V5" s="52">
        <v>1947.04</v>
      </c>
      <c r="W5" s="60">
        <v>330.31</v>
      </c>
    </row>
    <row r="6" spans="1:23">
      <c r="A6" s="7" t="s">
        <v>208</v>
      </c>
      <c r="B6" s="7" t="s">
        <v>48</v>
      </c>
      <c r="C6" s="7" t="s">
        <v>207</v>
      </c>
      <c r="D6" s="36">
        <v>58</v>
      </c>
      <c r="E6" s="37">
        <v>2</v>
      </c>
      <c r="F6" s="37">
        <v>3</v>
      </c>
      <c r="G6" s="37">
        <v>9</v>
      </c>
      <c r="H6" s="37">
        <v>10</v>
      </c>
      <c r="I6" s="37">
        <v>4</v>
      </c>
      <c r="J6" s="37">
        <v>10</v>
      </c>
      <c r="K6" s="19">
        <v>0.71689999999999998</v>
      </c>
      <c r="L6" s="48">
        <v>5.42</v>
      </c>
      <c r="M6" s="48">
        <v>1.34</v>
      </c>
      <c r="N6" s="48">
        <v>3.9</v>
      </c>
      <c r="O6" s="48">
        <v>4.66</v>
      </c>
      <c r="P6" s="52">
        <v>3385.29</v>
      </c>
      <c r="Q6" s="46">
        <v>101.652367</v>
      </c>
      <c r="R6" s="52">
        <v>2984.09</v>
      </c>
      <c r="S6" s="46">
        <v>84.434313000000003</v>
      </c>
      <c r="T6" s="52">
        <v>2865.29</v>
      </c>
      <c r="U6" s="46">
        <v>199.784514</v>
      </c>
      <c r="V6" s="52">
        <v>2939.9</v>
      </c>
      <c r="W6" s="60">
        <v>264.02</v>
      </c>
    </row>
    <row r="7" spans="1:23">
      <c r="A7" s="38" t="s">
        <v>209</v>
      </c>
      <c r="B7" s="38" t="s">
        <v>48</v>
      </c>
      <c r="C7" s="38" t="s">
        <v>207</v>
      </c>
      <c r="D7" s="39">
        <v>57</v>
      </c>
      <c r="E7" s="41">
        <v>8</v>
      </c>
      <c r="F7" s="41">
        <v>3</v>
      </c>
      <c r="G7" s="41">
        <v>7</v>
      </c>
      <c r="H7" s="41">
        <v>10</v>
      </c>
      <c r="I7" s="41">
        <v>7</v>
      </c>
      <c r="J7" s="41">
        <v>9</v>
      </c>
      <c r="K7" s="40">
        <v>0.80430000000000001</v>
      </c>
      <c r="L7" s="49">
        <v>1.52</v>
      </c>
      <c r="M7" s="49">
        <v>2.06</v>
      </c>
      <c r="N7" s="49">
        <v>1.69</v>
      </c>
      <c r="O7" s="49">
        <v>8.99</v>
      </c>
      <c r="P7" s="53">
        <v>4959.45</v>
      </c>
      <c r="Q7" s="46">
        <v>33.012999999999998</v>
      </c>
      <c r="R7" s="53">
        <v>5142.7700000000004</v>
      </c>
      <c r="S7" s="46">
        <v>402.88900000000001</v>
      </c>
      <c r="T7" s="53">
        <v>5430.34</v>
      </c>
      <c r="U7" s="46">
        <v>741.226</v>
      </c>
      <c r="V7" s="53">
        <v>6094.89</v>
      </c>
      <c r="W7" s="60">
        <v>993.94</v>
      </c>
    </row>
    <row r="8" spans="1:23" ht="25">
      <c r="A8" s="7" t="s">
        <v>219</v>
      </c>
      <c r="B8" s="7" t="s">
        <v>48</v>
      </c>
      <c r="C8" s="7" t="s">
        <v>207</v>
      </c>
      <c r="D8" s="36">
        <v>48</v>
      </c>
      <c r="E8" s="37">
        <v>9</v>
      </c>
      <c r="F8" s="37">
        <v>3</v>
      </c>
      <c r="G8" s="37">
        <v>5</v>
      </c>
      <c r="H8" s="37">
        <v>5</v>
      </c>
      <c r="I8" s="37">
        <v>10</v>
      </c>
      <c r="J8" s="37">
        <v>5</v>
      </c>
      <c r="K8" s="19">
        <v>0.1903</v>
      </c>
      <c r="L8" s="48">
        <v>6.38</v>
      </c>
      <c r="M8" s="48">
        <v>7.66</v>
      </c>
      <c r="N8" s="48">
        <v>7.36</v>
      </c>
      <c r="O8" s="48">
        <v>8.0399999999999991</v>
      </c>
      <c r="P8" s="52">
        <v>25202.71</v>
      </c>
      <c r="Q8" s="46">
        <v>1258.349465</v>
      </c>
      <c r="R8" s="52">
        <v>25057.1</v>
      </c>
      <c r="S8" s="46">
        <v>367.21159999999998</v>
      </c>
      <c r="T8" s="52">
        <v>27496.16</v>
      </c>
      <c r="U8" s="46">
        <v>-68.113298999999998</v>
      </c>
      <c r="V8" s="52">
        <v>30510.2</v>
      </c>
      <c r="W8" s="62">
        <v>2569.67</v>
      </c>
    </row>
    <row r="9" spans="1:23">
      <c r="A9" s="38" t="s">
        <v>214</v>
      </c>
      <c r="B9" s="38" t="s">
        <v>48</v>
      </c>
      <c r="C9" s="38" t="s">
        <v>212</v>
      </c>
      <c r="D9" s="39">
        <v>50</v>
      </c>
      <c r="E9" s="41">
        <v>8</v>
      </c>
      <c r="F9" s="41">
        <v>5</v>
      </c>
      <c r="G9" s="41">
        <v>5</v>
      </c>
      <c r="H9" s="41">
        <v>8</v>
      </c>
      <c r="I9" s="41">
        <v>6</v>
      </c>
      <c r="J9" s="41">
        <v>5</v>
      </c>
      <c r="K9" s="40">
        <v>0.59340000000000004</v>
      </c>
      <c r="L9" s="49">
        <v>2.59</v>
      </c>
      <c r="M9" s="49">
        <v>2.33</v>
      </c>
      <c r="N9" s="49">
        <v>4.67</v>
      </c>
      <c r="O9" s="49">
        <v>7.18</v>
      </c>
      <c r="P9" s="53">
        <v>3216.37</v>
      </c>
      <c r="Q9" s="46">
        <v>148.28025400000001</v>
      </c>
      <c r="R9" s="53">
        <v>3133.23</v>
      </c>
      <c r="S9" s="46">
        <v>232.09898100000001</v>
      </c>
      <c r="T9" s="53">
        <v>3379.51</v>
      </c>
      <c r="U9" s="46">
        <v>299.36693100000002</v>
      </c>
      <c r="V9" s="53">
        <v>3548.17</v>
      </c>
      <c r="W9" s="60">
        <v>164.84</v>
      </c>
    </row>
    <row r="10" spans="1:23" ht="25">
      <c r="A10" s="7" t="s">
        <v>215</v>
      </c>
      <c r="B10" s="7" t="s">
        <v>48</v>
      </c>
      <c r="C10" s="7" t="s">
        <v>212</v>
      </c>
      <c r="D10" s="36">
        <v>50</v>
      </c>
      <c r="E10" s="37">
        <v>4</v>
      </c>
      <c r="F10" s="37">
        <v>10</v>
      </c>
      <c r="G10" s="37">
        <v>9</v>
      </c>
      <c r="H10" s="37">
        <v>10</v>
      </c>
      <c r="I10" s="37">
        <v>9</v>
      </c>
      <c r="J10" s="37">
        <v>9</v>
      </c>
      <c r="K10" s="19">
        <v>1.0596000000000001</v>
      </c>
      <c r="L10" s="49">
        <v>4.42</v>
      </c>
      <c r="M10" s="49">
        <v>3.82</v>
      </c>
      <c r="N10" s="49">
        <v>6.8</v>
      </c>
      <c r="O10" s="49">
        <v>8.2100000000000009</v>
      </c>
      <c r="P10" s="53">
        <v>6359.6</v>
      </c>
      <c r="Q10" s="46">
        <v>1196.5949700000001</v>
      </c>
      <c r="R10" s="53">
        <v>8085.04</v>
      </c>
      <c r="S10" s="46">
        <v>1557.810606</v>
      </c>
      <c r="T10" s="53">
        <v>8671.14</v>
      </c>
      <c r="U10" s="46">
        <v>1543.8233789999999</v>
      </c>
      <c r="V10" s="53">
        <v>8239.86</v>
      </c>
      <c r="W10" s="62">
        <v>1964.43</v>
      </c>
    </row>
    <row r="11" spans="1:23">
      <c r="A11" s="38" t="s">
        <v>221</v>
      </c>
      <c r="B11" s="38" t="s">
        <v>48</v>
      </c>
      <c r="C11" s="38" t="s">
        <v>212</v>
      </c>
      <c r="D11" s="39">
        <v>39</v>
      </c>
      <c r="E11" s="41">
        <v>2</v>
      </c>
      <c r="F11" s="41">
        <v>3</v>
      </c>
      <c r="G11" s="41">
        <v>7</v>
      </c>
      <c r="H11" s="41">
        <v>3</v>
      </c>
      <c r="I11" s="41">
        <v>4</v>
      </c>
      <c r="J11" s="41">
        <v>8</v>
      </c>
      <c r="K11" s="40">
        <v>0.22320000000000001</v>
      </c>
      <c r="L11" s="49">
        <v>8.56</v>
      </c>
      <c r="M11" s="49">
        <v>9.83</v>
      </c>
      <c r="N11" s="49">
        <v>7.33</v>
      </c>
      <c r="O11" s="49">
        <v>2.37</v>
      </c>
      <c r="P11" s="53">
        <v>2988.49</v>
      </c>
      <c r="Q11" s="46">
        <v>7.5846970000000002</v>
      </c>
      <c r="R11" s="53">
        <v>2645.63</v>
      </c>
      <c r="S11" s="46">
        <v>413.03825999999998</v>
      </c>
      <c r="T11" s="53">
        <v>2040.74</v>
      </c>
      <c r="U11" s="46">
        <v>-62.962833000000003</v>
      </c>
      <c r="V11" s="53">
        <v>1997.74</v>
      </c>
      <c r="W11" s="60">
        <v>166.95</v>
      </c>
    </row>
    <row r="12" spans="1:23" ht="25">
      <c r="A12" s="7" t="s">
        <v>216</v>
      </c>
      <c r="B12" s="7" t="s">
        <v>48</v>
      </c>
      <c r="C12" s="7" t="s">
        <v>212</v>
      </c>
      <c r="D12" s="36">
        <v>50</v>
      </c>
      <c r="E12" s="37">
        <v>4</v>
      </c>
      <c r="F12" s="37">
        <v>3</v>
      </c>
      <c r="G12" s="37">
        <v>7</v>
      </c>
      <c r="H12" s="37">
        <v>5</v>
      </c>
      <c r="I12" s="37">
        <v>8</v>
      </c>
      <c r="J12" s="37">
        <v>8</v>
      </c>
      <c r="K12" s="19">
        <v>1.2831999999999999</v>
      </c>
      <c r="L12" s="49">
        <v>7.02</v>
      </c>
      <c r="M12" s="49">
        <v>4.82</v>
      </c>
      <c r="N12" s="49">
        <v>3.52</v>
      </c>
      <c r="O12" s="49">
        <v>7.72</v>
      </c>
      <c r="P12" s="52">
        <v>39243.29</v>
      </c>
      <c r="Q12" s="46">
        <v>2413.5524770000002</v>
      </c>
      <c r="R12" s="52">
        <v>34310.86</v>
      </c>
      <c r="S12" s="46">
        <v>1286.099866</v>
      </c>
      <c r="T12" s="52">
        <v>30758.58</v>
      </c>
      <c r="U12" s="46">
        <v>4916.8204050000004</v>
      </c>
      <c r="V12" s="52">
        <v>27998.62</v>
      </c>
      <c r="W12" s="62">
        <v>2945.95</v>
      </c>
    </row>
    <row r="13" spans="1:23" ht="25">
      <c r="A13" s="38" t="s">
        <v>211</v>
      </c>
      <c r="B13" s="38" t="s">
        <v>48</v>
      </c>
      <c r="C13" s="38" t="s">
        <v>212</v>
      </c>
      <c r="D13" s="39">
        <v>51</v>
      </c>
      <c r="E13" s="41">
        <v>5</v>
      </c>
      <c r="F13" s="41">
        <v>8</v>
      </c>
      <c r="G13" s="41">
        <v>10</v>
      </c>
      <c r="H13" s="41">
        <v>8</v>
      </c>
      <c r="I13" s="41">
        <v>10</v>
      </c>
      <c r="J13" s="41">
        <v>10</v>
      </c>
      <c r="K13" s="40">
        <v>1.8123</v>
      </c>
      <c r="L13" s="49">
        <v>5.52</v>
      </c>
      <c r="M13" s="49">
        <v>4.26</v>
      </c>
      <c r="N13" s="49">
        <v>4.53</v>
      </c>
      <c r="O13" s="49">
        <v>4.62</v>
      </c>
      <c r="P13" s="52">
        <v>3303.86</v>
      </c>
      <c r="Q13" s="46">
        <v>512.14090799999997</v>
      </c>
      <c r="R13" s="52">
        <v>3556.79</v>
      </c>
      <c r="S13" s="46">
        <v>947.80776100000003</v>
      </c>
      <c r="T13" s="52">
        <v>3564.25</v>
      </c>
      <c r="U13" s="46">
        <v>817.30625499999996</v>
      </c>
      <c r="V13" s="52">
        <v>3555.94</v>
      </c>
      <c r="W13" s="62">
        <v>1060.02</v>
      </c>
    </row>
    <row r="14" spans="1:23" ht="25">
      <c r="A14" s="7" t="s">
        <v>220</v>
      </c>
      <c r="B14" s="7" t="s">
        <v>48</v>
      </c>
      <c r="C14" s="7" t="s">
        <v>212</v>
      </c>
      <c r="D14" s="36">
        <v>42</v>
      </c>
      <c r="E14" s="37">
        <v>8</v>
      </c>
      <c r="F14" s="37">
        <v>3</v>
      </c>
      <c r="G14" s="37">
        <v>3</v>
      </c>
      <c r="H14" s="37">
        <v>3</v>
      </c>
      <c r="I14" s="37">
        <v>4</v>
      </c>
      <c r="J14" s="37">
        <v>3</v>
      </c>
      <c r="K14" s="19">
        <v>0.66910000000000003</v>
      </c>
      <c r="L14" s="48">
        <v>5.62</v>
      </c>
      <c r="M14" s="48">
        <v>5.85</v>
      </c>
      <c r="N14" s="48">
        <v>4.3499999999999996</v>
      </c>
      <c r="O14" s="48">
        <v>5.6</v>
      </c>
      <c r="P14" s="52">
        <v>156560.31</v>
      </c>
      <c r="Q14" s="46">
        <v>5870.7539999999999</v>
      </c>
      <c r="R14" s="52">
        <v>137212.85</v>
      </c>
      <c r="S14" s="46">
        <v>9202.6309999999994</v>
      </c>
      <c r="T14" s="52">
        <v>139570.53</v>
      </c>
      <c r="U14" s="46">
        <v>14525.212</v>
      </c>
      <c r="V14" s="52">
        <v>133600.47</v>
      </c>
      <c r="W14" s="62">
        <v>3307.93</v>
      </c>
    </row>
    <row r="15" spans="1:23" ht="25">
      <c r="A15" s="38" t="s">
        <v>217</v>
      </c>
      <c r="B15" s="38" t="s">
        <v>48</v>
      </c>
      <c r="C15" s="38" t="s">
        <v>212</v>
      </c>
      <c r="D15" s="39">
        <v>50</v>
      </c>
      <c r="E15" s="41">
        <v>8</v>
      </c>
      <c r="F15" s="41">
        <v>10</v>
      </c>
      <c r="G15" s="41">
        <v>8</v>
      </c>
      <c r="H15" s="41">
        <v>10</v>
      </c>
      <c r="I15" s="41">
        <v>10</v>
      </c>
      <c r="J15" s="41">
        <v>9</v>
      </c>
      <c r="K15" s="40">
        <v>0.94769999999999999</v>
      </c>
      <c r="L15" s="49">
        <v>2.48</v>
      </c>
      <c r="M15" s="48">
        <v>1.91</v>
      </c>
      <c r="N15" s="48">
        <v>3.22</v>
      </c>
      <c r="O15" s="48">
        <v>7.43</v>
      </c>
      <c r="P15" s="52">
        <v>4899.51</v>
      </c>
      <c r="Q15" s="46">
        <v>1014.952626</v>
      </c>
      <c r="R15" s="52">
        <v>6198.41</v>
      </c>
      <c r="S15" s="46">
        <v>1663.6952570000001</v>
      </c>
      <c r="T15" s="52">
        <v>7033.55</v>
      </c>
      <c r="U15" s="46">
        <v>1307.951251</v>
      </c>
      <c r="V15" s="52">
        <v>5372.91</v>
      </c>
      <c r="W15" s="62">
        <v>1205.68</v>
      </c>
    </row>
    <row r="16" spans="1:23" ht="25">
      <c r="A16" s="7" t="s">
        <v>218</v>
      </c>
      <c r="B16" s="7" t="s">
        <v>48</v>
      </c>
      <c r="C16" s="7" t="s">
        <v>212</v>
      </c>
      <c r="D16" s="36">
        <v>49</v>
      </c>
      <c r="E16" s="37">
        <v>9</v>
      </c>
      <c r="F16" s="37">
        <v>5</v>
      </c>
      <c r="G16" s="37">
        <v>7</v>
      </c>
      <c r="H16" s="37">
        <v>10</v>
      </c>
      <c r="I16" s="37">
        <v>7</v>
      </c>
      <c r="J16" s="37">
        <v>10</v>
      </c>
      <c r="K16" s="19">
        <v>1.2153</v>
      </c>
      <c r="L16" s="49">
        <v>2.02</v>
      </c>
      <c r="M16" s="49">
        <v>1.87</v>
      </c>
      <c r="N16" s="49">
        <v>2.2200000000000002</v>
      </c>
      <c r="O16" s="49">
        <v>2.82</v>
      </c>
      <c r="P16" s="53">
        <v>27165.200000000001</v>
      </c>
      <c r="Q16" s="46">
        <v>3313.4358820000002</v>
      </c>
      <c r="R16" s="53">
        <v>28523.96</v>
      </c>
      <c r="S16" s="46">
        <v>5390.1687449999999</v>
      </c>
      <c r="T16" s="53">
        <v>30719.82</v>
      </c>
      <c r="U16" s="46">
        <v>6583.602492</v>
      </c>
      <c r="V16" s="53">
        <v>28711.53</v>
      </c>
      <c r="W16" s="62">
        <v>2834.6</v>
      </c>
    </row>
    <row r="17" spans="1:23">
      <c r="A17" s="38" t="s">
        <v>199</v>
      </c>
      <c r="B17" s="38" t="s">
        <v>44</v>
      </c>
      <c r="C17" s="38" t="s">
        <v>183</v>
      </c>
      <c r="D17" s="39">
        <v>28</v>
      </c>
      <c r="E17" s="41">
        <v>2</v>
      </c>
      <c r="F17" s="41">
        <v>10</v>
      </c>
      <c r="G17" s="41">
        <v>9</v>
      </c>
      <c r="H17" s="41">
        <v>3</v>
      </c>
      <c r="I17" s="41">
        <v>4</v>
      </c>
      <c r="J17" s="41">
        <v>10</v>
      </c>
      <c r="K17" s="40">
        <v>4.9200000000000001E-2</v>
      </c>
      <c r="L17" s="49">
        <v>1.43</v>
      </c>
      <c r="M17" s="49">
        <v>2.2200000000000002</v>
      </c>
      <c r="N17" s="49">
        <v>2.75</v>
      </c>
      <c r="O17" s="49">
        <v>3.45</v>
      </c>
      <c r="P17" s="53">
        <v>4032.72</v>
      </c>
      <c r="Q17" s="46">
        <v>302.06293099999999</v>
      </c>
      <c r="R17" s="53">
        <v>3754.9</v>
      </c>
      <c r="S17" s="46">
        <v>78.385476999999995</v>
      </c>
      <c r="T17" s="53">
        <v>3692.5</v>
      </c>
      <c r="U17" s="46">
        <v>-30.878439</v>
      </c>
      <c r="V17" s="53">
        <v>3322.85</v>
      </c>
      <c r="W17" s="60">
        <v>-257.27999999999997</v>
      </c>
    </row>
    <row r="18" spans="1:23">
      <c r="A18" s="7" t="s">
        <v>198</v>
      </c>
      <c r="B18" s="7" t="s">
        <v>44</v>
      </c>
      <c r="C18" s="7" t="s">
        <v>183</v>
      </c>
      <c r="D18" s="36">
        <v>32</v>
      </c>
      <c r="E18" s="37">
        <v>2</v>
      </c>
      <c r="F18" s="37">
        <v>10</v>
      </c>
      <c r="G18" s="37">
        <v>9</v>
      </c>
      <c r="H18" s="37">
        <v>3</v>
      </c>
      <c r="I18" s="37">
        <v>4</v>
      </c>
      <c r="J18" s="37">
        <v>10</v>
      </c>
      <c r="K18" s="19">
        <v>-2.4761000000000002</v>
      </c>
      <c r="L18" s="49">
        <v>1.31</v>
      </c>
      <c r="M18" s="49">
        <v>2.2200000000000002</v>
      </c>
      <c r="N18" s="49">
        <v>2.2200000000000002</v>
      </c>
      <c r="O18" s="49">
        <v>2.86</v>
      </c>
      <c r="P18" s="49">
        <v>746.89</v>
      </c>
      <c r="Q18" s="46">
        <v>-20.751767999999998</v>
      </c>
      <c r="R18" s="49">
        <v>768.16</v>
      </c>
      <c r="S18" s="46">
        <v>22.009031</v>
      </c>
      <c r="T18" s="49">
        <v>838.03</v>
      </c>
      <c r="U18" s="46">
        <v>-48.329124999999998</v>
      </c>
      <c r="V18" s="49">
        <v>667.34</v>
      </c>
      <c r="W18" s="60">
        <v>-7.65</v>
      </c>
    </row>
    <row r="19" spans="1:23">
      <c r="A19" s="38" t="s">
        <v>191</v>
      </c>
      <c r="B19" s="38" t="s">
        <v>44</v>
      </c>
      <c r="C19" s="38" t="s">
        <v>183</v>
      </c>
      <c r="D19" s="39">
        <v>47</v>
      </c>
      <c r="E19" s="41">
        <v>10</v>
      </c>
      <c r="F19" s="41">
        <v>3</v>
      </c>
      <c r="G19" s="41">
        <v>7</v>
      </c>
      <c r="H19" s="41">
        <v>3</v>
      </c>
      <c r="I19" s="41">
        <v>4</v>
      </c>
      <c r="J19" s="41">
        <v>8</v>
      </c>
      <c r="K19" s="40">
        <v>0.22770000000000001</v>
      </c>
      <c r="L19" s="48">
        <v>1.67</v>
      </c>
      <c r="M19" s="48">
        <v>3.64</v>
      </c>
      <c r="N19" s="48">
        <v>1.98</v>
      </c>
      <c r="O19" s="48">
        <v>1.92</v>
      </c>
      <c r="P19" s="52">
        <v>2861.86</v>
      </c>
      <c r="Q19" s="46">
        <v>-58.129483</v>
      </c>
      <c r="R19" s="52">
        <v>2185.4899999999998</v>
      </c>
      <c r="S19" s="46">
        <v>207.28853899999999</v>
      </c>
      <c r="T19" s="52">
        <v>1858.59</v>
      </c>
      <c r="U19" s="46">
        <v>279.97072100000003</v>
      </c>
      <c r="V19" s="52">
        <v>1676.41</v>
      </c>
      <c r="W19" s="60">
        <v>-103.57</v>
      </c>
    </row>
    <row r="20" spans="1:23">
      <c r="A20" s="7" t="s">
        <v>194</v>
      </c>
      <c r="B20" s="7" t="s">
        <v>44</v>
      </c>
      <c r="C20" s="7" t="s">
        <v>183</v>
      </c>
      <c r="D20" s="36">
        <v>39</v>
      </c>
      <c r="E20" s="37">
        <v>5</v>
      </c>
      <c r="F20" s="37">
        <v>10</v>
      </c>
      <c r="G20" s="37">
        <v>7</v>
      </c>
      <c r="H20" s="37">
        <v>6</v>
      </c>
      <c r="I20" s="37">
        <v>10</v>
      </c>
      <c r="J20" s="37">
        <v>8</v>
      </c>
      <c r="K20" s="19">
        <v>0.89419999999999999</v>
      </c>
      <c r="L20" s="48">
        <v>3.65</v>
      </c>
      <c r="M20" s="49">
        <v>4.66</v>
      </c>
      <c r="N20" s="48">
        <v>6.55</v>
      </c>
      <c r="O20" s="48">
        <v>8.17</v>
      </c>
      <c r="P20" s="52">
        <v>3185.72</v>
      </c>
      <c r="Q20" s="46">
        <v>682.21482400000002</v>
      </c>
      <c r="R20" s="52">
        <v>3450.38</v>
      </c>
      <c r="S20" s="46">
        <v>408.94881500000002</v>
      </c>
      <c r="T20" s="52">
        <v>3586.94</v>
      </c>
      <c r="U20" s="46">
        <v>622.932548</v>
      </c>
      <c r="V20" s="52">
        <v>3338.88</v>
      </c>
      <c r="W20" s="60">
        <v>583.64</v>
      </c>
    </row>
    <row r="21" spans="1:23">
      <c r="A21" s="38" t="s">
        <v>182</v>
      </c>
      <c r="B21" s="38" t="s">
        <v>44</v>
      </c>
      <c r="C21" s="38" t="s">
        <v>183</v>
      </c>
      <c r="D21" s="39">
        <v>54</v>
      </c>
      <c r="E21" s="41">
        <v>2</v>
      </c>
      <c r="F21" s="41">
        <v>10</v>
      </c>
      <c r="G21" s="41">
        <v>9</v>
      </c>
      <c r="H21" s="41">
        <v>10</v>
      </c>
      <c r="I21" s="41">
        <v>4</v>
      </c>
      <c r="J21" s="41">
        <v>9</v>
      </c>
      <c r="K21" s="40">
        <v>0.83499999999999996</v>
      </c>
      <c r="L21" s="49">
        <v>1.96</v>
      </c>
      <c r="M21" s="49">
        <v>2.69</v>
      </c>
      <c r="N21" s="49">
        <v>3.84</v>
      </c>
      <c r="O21" s="49">
        <v>5.63</v>
      </c>
      <c r="P21" s="54">
        <v>8269.7099999999991</v>
      </c>
      <c r="Q21" s="46">
        <v>384.90185100000002</v>
      </c>
      <c r="R21" s="53">
        <v>9915.1</v>
      </c>
      <c r="S21" s="46">
        <v>838.39858300000003</v>
      </c>
      <c r="T21" s="53">
        <v>9528.39</v>
      </c>
      <c r="U21" s="46">
        <v>830.31913199999997</v>
      </c>
      <c r="V21" s="53">
        <v>9131.9500000000007</v>
      </c>
      <c r="W21" s="60">
        <v>830.32</v>
      </c>
    </row>
    <row r="22" spans="1:23">
      <c r="A22" s="7" t="s">
        <v>189</v>
      </c>
      <c r="B22" s="7" t="s">
        <v>44</v>
      </c>
      <c r="C22" s="7" t="s">
        <v>185</v>
      </c>
      <c r="D22" s="36">
        <v>50</v>
      </c>
      <c r="E22" s="37">
        <v>7</v>
      </c>
      <c r="F22" s="37">
        <v>5</v>
      </c>
      <c r="G22" s="37">
        <v>9</v>
      </c>
      <c r="H22" s="37">
        <v>10</v>
      </c>
      <c r="I22" s="37">
        <v>4</v>
      </c>
      <c r="J22" s="37">
        <v>9</v>
      </c>
      <c r="K22" s="19">
        <v>0.71589999999999998</v>
      </c>
      <c r="L22" s="48">
        <v>2.65</v>
      </c>
      <c r="M22" s="49">
        <v>1.43</v>
      </c>
      <c r="N22" s="48">
        <v>10.36</v>
      </c>
      <c r="O22" s="48">
        <v>6.29</v>
      </c>
      <c r="P22" s="52">
        <v>8443.52</v>
      </c>
      <c r="Q22" s="46">
        <v>-218.62096500000001</v>
      </c>
      <c r="R22" s="52">
        <v>8742.8799999999992</v>
      </c>
      <c r="S22" s="46">
        <v>-123.499498</v>
      </c>
      <c r="T22" s="52">
        <v>7737.13</v>
      </c>
      <c r="U22" s="46">
        <v>936.10472400000003</v>
      </c>
      <c r="V22" s="52">
        <v>6962.22</v>
      </c>
      <c r="W22" s="60">
        <v>185.66</v>
      </c>
    </row>
    <row r="23" spans="1:23">
      <c r="A23" s="38" t="s">
        <v>184</v>
      </c>
      <c r="B23" s="38" t="s">
        <v>44</v>
      </c>
      <c r="C23" s="38" t="s">
        <v>185</v>
      </c>
      <c r="D23" s="39">
        <v>53</v>
      </c>
      <c r="E23" s="41">
        <v>9</v>
      </c>
      <c r="F23" s="41">
        <v>10</v>
      </c>
      <c r="G23" s="41">
        <v>5</v>
      </c>
      <c r="H23" s="41">
        <v>8</v>
      </c>
      <c r="I23" s="41">
        <v>4</v>
      </c>
      <c r="J23" s="41">
        <v>5</v>
      </c>
      <c r="K23" s="40">
        <v>0.12139999999999999</v>
      </c>
      <c r="L23" s="49">
        <v>0</v>
      </c>
      <c r="M23" s="49">
        <v>6.41</v>
      </c>
      <c r="N23" s="48">
        <v>4.8099999999999996</v>
      </c>
      <c r="O23" s="48">
        <v>9.9</v>
      </c>
      <c r="P23" s="48">
        <v>618.66999999999996</v>
      </c>
      <c r="Q23" s="46">
        <v>-14.620946999999999</v>
      </c>
      <c r="R23" s="48">
        <v>651.52</v>
      </c>
      <c r="S23" s="46">
        <v>100.726949</v>
      </c>
      <c r="T23" s="48">
        <v>744.58</v>
      </c>
      <c r="U23" s="46">
        <v>-17.261856999999999</v>
      </c>
      <c r="V23" s="48">
        <v>838.73</v>
      </c>
      <c r="W23" s="60">
        <v>8.1300000000000008</v>
      </c>
    </row>
    <row r="24" spans="1:23">
      <c r="A24" s="7" t="s">
        <v>192</v>
      </c>
      <c r="B24" s="7" t="s">
        <v>44</v>
      </c>
      <c r="C24" s="7" t="s">
        <v>185</v>
      </c>
      <c r="D24" s="36">
        <v>44</v>
      </c>
      <c r="E24" s="37">
        <v>2</v>
      </c>
      <c r="F24" s="37">
        <v>3</v>
      </c>
      <c r="G24" s="37">
        <v>7</v>
      </c>
      <c r="H24" s="37">
        <v>10</v>
      </c>
      <c r="I24" s="37">
        <v>4</v>
      </c>
      <c r="J24" s="37">
        <v>8</v>
      </c>
      <c r="K24" s="19">
        <v>0.64219999999999999</v>
      </c>
      <c r="L24" s="48">
        <v>3.55</v>
      </c>
      <c r="M24" s="49">
        <v>2.4</v>
      </c>
      <c r="N24" s="48">
        <v>4.63</v>
      </c>
      <c r="O24" s="48">
        <v>8.18</v>
      </c>
      <c r="P24" s="52">
        <v>2434.4699999999998</v>
      </c>
      <c r="Q24" s="46">
        <v>-38.306308999999999</v>
      </c>
      <c r="R24" s="52">
        <v>2576.84</v>
      </c>
      <c r="S24" s="46">
        <v>313.82871999999998</v>
      </c>
      <c r="T24" s="52">
        <v>2529.9</v>
      </c>
      <c r="U24" s="46">
        <v>269.70950599999998</v>
      </c>
      <c r="V24" s="52">
        <v>2245.67</v>
      </c>
      <c r="W24" s="60">
        <v>114.46</v>
      </c>
    </row>
    <row r="25" spans="1:23">
      <c r="A25" s="38" t="s">
        <v>197</v>
      </c>
      <c r="B25" s="38" t="s">
        <v>44</v>
      </c>
      <c r="C25" s="38" t="s">
        <v>185</v>
      </c>
      <c r="D25" s="39">
        <v>34</v>
      </c>
      <c r="E25" s="41">
        <v>2</v>
      </c>
      <c r="F25" s="41">
        <v>3</v>
      </c>
      <c r="G25" s="41">
        <v>3</v>
      </c>
      <c r="H25" s="41">
        <v>3</v>
      </c>
      <c r="I25" s="41">
        <v>4</v>
      </c>
      <c r="J25" s="41">
        <v>3</v>
      </c>
      <c r="K25" s="40">
        <v>2.2475000000000001</v>
      </c>
      <c r="L25" s="48">
        <v>4.17</v>
      </c>
      <c r="M25" s="49">
        <v>4.66</v>
      </c>
      <c r="N25" s="48">
        <v>3.36</v>
      </c>
      <c r="O25" s="48">
        <v>4.17</v>
      </c>
      <c r="P25" s="52">
        <v>3268.67</v>
      </c>
      <c r="Q25" s="46">
        <v>-64.109076000000002</v>
      </c>
      <c r="R25" s="52">
        <v>2759.38</v>
      </c>
      <c r="S25" s="46">
        <v>148.037588</v>
      </c>
      <c r="T25" s="52">
        <v>2673.98</v>
      </c>
      <c r="U25" s="46">
        <v>282.82334700000001</v>
      </c>
      <c r="V25" s="52">
        <v>2531.39</v>
      </c>
      <c r="W25" s="60">
        <v>205.41</v>
      </c>
    </row>
    <row r="26" spans="1:23">
      <c r="A26" s="7" t="s">
        <v>195</v>
      </c>
      <c r="B26" s="7" t="s">
        <v>44</v>
      </c>
      <c r="C26" s="7" t="s">
        <v>185</v>
      </c>
      <c r="D26" s="36">
        <v>38</v>
      </c>
      <c r="E26" s="37">
        <v>6</v>
      </c>
      <c r="F26" s="37">
        <v>9</v>
      </c>
      <c r="G26" s="37">
        <v>8</v>
      </c>
      <c r="H26" s="37">
        <v>5</v>
      </c>
      <c r="I26" s="37">
        <v>6</v>
      </c>
      <c r="J26" s="37">
        <v>9</v>
      </c>
      <c r="K26" s="19">
        <v>0.86480000000000001</v>
      </c>
      <c r="L26" s="49">
        <v>2.88</v>
      </c>
      <c r="M26" s="49">
        <v>2.78</v>
      </c>
      <c r="N26" s="48">
        <v>3.37</v>
      </c>
      <c r="O26" s="48">
        <v>3.55</v>
      </c>
      <c r="P26" s="48">
        <v>700.07</v>
      </c>
      <c r="Q26" s="46">
        <v>3.1177990000000002</v>
      </c>
      <c r="R26" s="48">
        <v>785.81</v>
      </c>
      <c r="S26" s="46">
        <v>-65.652309000000002</v>
      </c>
      <c r="T26" s="48">
        <v>809.43</v>
      </c>
      <c r="U26" s="46">
        <v>113.38552900000001</v>
      </c>
      <c r="V26" s="48">
        <v>767.38</v>
      </c>
      <c r="W26" s="60">
        <v>42.39</v>
      </c>
    </row>
    <row r="27" spans="1:23">
      <c r="A27" s="38" t="s">
        <v>186</v>
      </c>
      <c r="B27" s="38" t="s">
        <v>44</v>
      </c>
      <c r="C27" s="38" t="s">
        <v>187</v>
      </c>
      <c r="D27" s="39">
        <v>53</v>
      </c>
      <c r="E27" s="41">
        <v>2</v>
      </c>
      <c r="F27" s="41">
        <v>3</v>
      </c>
      <c r="G27" s="41">
        <v>6</v>
      </c>
      <c r="H27" s="41">
        <v>10</v>
      </c>
      <c r="I27" s="41">
        <v>10</v>
      </c>
      <c r="J27" s="41">
        <v>7</v>
      </c>
      <c r="K27" s="40">
        <v>8.7400000000000005E-2</v>
      </c>
      <c r="L27" s="48">
        <v>10.4</v>
      </c>
      <c r="M27" s="48">
        <v>5.75</v>
      </c>
      <c r="N27" s="48">
        <v>8.77</v>
      </c>
      <c r="O27" s="48">
        <v>8.7899999999999991</v>
      </c>
      <c r="P27" s="52">
        <v>1235.2</v>
      </c>
      <c r="Q27" s="46">
        <v>216.04647600000001</v>
      </c>
      <c r="R27" s="52">
        <v>1698.4</v>
      </c>
      <c r="S27" s="46">
        <v>647.15168300000005</v>
      </c>
      <c r="T27" s="52">
        <v>1717.16</v>
      </c>
      <c r="U27" s="46">
        <v>-63.752800999999998</v>
      </c>
      <c r="V27" s="52">
        <v>2026.5</v>
      </c>
      <c r="W27" s="60">
        <v>369.18</v>
      </c>
    </row>
    <row r="28" spans="1:23">
      <c r="A28" s="7" t="s">
        <v>190</v>
      </c>
      <c r="B28" s="7" t="s">
        <v>44</v>
      </c>
      <c r="C28" s="7" t="s">
        <v>187</v>
      </c>
      <c r="D28" s="36">
        <v>50</v>
      </c>
      <c r="E28" s="37">
        <v>8</v>
      </c>
      <c r="F28" s="37">
        <v>10</v>
      </c>
      <c r="G28" s="37">
        <v>9</v>
      </c>
      <c r="H28" s="37">
        <v>8</v>
      </c>
      <c r="I28" s="37">
        <v>6</v>
      </c>
      <c r="J28" s="37">
        <v>10</v>
      </c>
      <c r="K28" s="19">
        <v>0.64429999999999998</v>
      </c>
      <c r="L28" s="49">
        <v>4.4400000000000004</v>
      </c>
      <c r="M28" s="49">
        <v>4.97</v>
      </c>
      <c r="N28" s="49">
        <v>5.25</v>
      </c>
      <c r="O28" s="49">
        <v>5.36</v>
      </c>
      <c r="P28" s="49">
        <v>746.38</v>
      </c>
      <c r="Q28" s="46">
        <v>45.071466000000001</v>
      </c>
      <c r="R28" s="49">
        <v>905.69</v>
      </c>
      <c r="S28" s="46">
        <v>66.388670000000005</v>
      </c>
      <c r="T28" s="49">
        <v>847.16</v>
      </c>
      <c r="U28" s="46">
        <v>93.090361999999999</v>
      </c>
      <c r="V28" s="49">
        <v>895.7</v>
      </c>
      <c r="W28" s="60">
        <v>42.97</v>
      </c>
    </row>
    <row r="29" spans="1:23">
      <c r="A29" s="38" t="s">
        <v>196</v>
      </c>
      <c r="B29" s="38" t="s">
        <v>44</v>
      </c>
      <c r="C29" s="38" t="s">
        <v>187</v>
      </c>
      <c r="D29" s="39">
        <v>38</v>
      </c>
      <c r="E29" s="41">
        <v>7</v>
      </c>
      <c r="F29" s="41">
        <v>9</v>
      </c>
      <c r="G29" s="41">
        <v>6</v>
      </c>
      <c r="H29" s="41">
        <v>6</v>
      </c>
      <c r="I29" s="41">
        <v>9</v>
      </c>
      <c r="J29" s="41">
        <v>7</v>
      </c>
      <c r="K29" s="40">
        <v>0.67049999999999998</v>
      </c>
      <c r="L29" s="49">
        <v>5.83</v>
      </c>
      <c r="M29" s="49">
        <v>5.08</v>
      </c>
      <c r="N29" s="49">
        <v>6.63</v>
      </c>
      <c r="O29" s="49">
        <v>6.77</v>
      </c>
      <c r="P29" s="53">
        <v>2960.58</v>
      </c>
      <c r="Q29" s="46">
        <v>436.78614099999999</v>
      </c>
      <c r="R29" s="53">
        <v>3013.56</v>
      </c>
      <c r="S29" s="46">
        <v>359.58427</v>
      </c>
      <c r="T29" s="53">
        <v>3516.5</v>
      </c>
      <c r="U29" s="46">
        <v>611.16457600000001</v>
      </c>
      <c r="V29" s="53">
        <v>3592.09</v>
      </c>
      <c r="W29" s="60">
        <v>244.8</v>
      </c>
    </row>
    <row r="30" spans="1:23">
      <c r="A30" s="7" t="s">
        <v>193</v>
      </c>
      <c r="B30" s="7" t="s">
        <v>44</v>
      </c>
      <c r="C30" s="7" t="s">
        <v>187</v>
      </c>
      <c r="D30" s="36">
        <v>40</v>
      </c>
      <c r="E30" s="37">
        <v>8</v>
      </c>
      <c r="F30" s="37">
        <v>10</v>
      </c>
      <c r="G30" s="37">
        <v>8</v>
      </c>
      <c r="H30" s="37">
        <v>3</v>
      </c>
      <c r="I30" s="37">
        <v>7</v>
      </c>
      <c r="J30" s="37">
        <v>9</v>
      </c>
      <c r="K30" s="19">
        <v>0.57010000000000005</v>
      </c>
      <c r="L30" s="48">
        <v>3.78</v>
      </c>
      <c r="M30" s="48">
        <v>3.22</v>
      </c>
      <c r="N30" s="48">
        <v>6.77</v>
      </c>
      <c r="O30" s="48">
        <v>4.72</v>
      </c>
      <c r="P30" s="52">
        <v>6077.26</v>
      </c>
      <c r="Q30" s="46">
        <v>742.52801299999999</v>
      </c>
      <c r="R30" s="52">
        <v>6951.32</v>
      </c>
      <c r="S30" s="46">
        <v>1077.9605260000001</v>
      </c>
      <c r="T30" s="52">
        <v>6363.56</v>
      </c>
      <c r="U30" s="46">
        <v>538.66159200000004</v>
      </c>
      <c r="V30" s="52">
        <v>7046.2</v>
      </c>
      <c r="W30" s="60">
        <v>489.01</v>
      </c>
    </row>
    <row r="31" spans="1:23">
      <c r="A31" s="38" t="s">
        <v>188</v>
      </c>
      <c r="B31" s="38" t="s">
        <v>44</v>
      </c>
      <c r="C31" s="38" t="s">
        <v>187</v>
      </c>
      <c r="D31" s="39">
        <v>51</v>
      </c>
      <c r="E31" s="41">
        <v>7</v>
      </c>
      <c r="F31" s="41">
        <v>3</v>
      </c>
      <c r="G31" s="41">
        <v>8</v>
      </c>
      <c r="H31" s="41">
        <v>9</v>
      </c>
      <c r="I31" s="41">
        <v>8</v>
      </c>
      <c r="J31" s="41">
        <v>9</v>
      </c>
      <c r="K31" s="40">
        <v>0.64680000000000004</v>
      </c>
      <c r="L31" s="48">
        <v>1.82</v>
      </c>
      <c r="M31" s="48">
        <v>3.15</v>
      </c>
      <c r="N31" s="48">
        <v>3.73</v>
      </c>
      <c r="O31" s="48">
        <v>11.55</v>
      </c>
      <c r="P31" s="48">
        <v>940.06</v>
      </c>
      <c r="Q31" s="46">
        <v>85.538267000000005</v>
      </c>
      <c r="R31" s="48">
        <v>968.73</v>
      </c>
      <c r="S31" s="46">
        <v>20.348302</v>
      </c>
      <c r="T31" s="52">
        <v>1176.08</v>
      </c>
      <c r="U31" s="46">
        <v>141.481908</v>
      </c>
      <c r="V31" s="52">
        <v>1209.98</v>
      </c>
      <c r="W31" s="60">
        <v>203.95</v>
      </c>
    </row>
    <row r="32" spans="1:23" ht="25">
      <c r="A32" s="7" t="s">
        <v>132</v>
      </c>
      <c r="B32" s="7" t="s">
        <v>42</v>
      </c>
      <c r="C32" s="7" t="s">
        <v>123</v>
      </c>
      <c r="D32" s="36">
        <v>43</v>
      </c>
      <c r="E32" s="37">
        <v>10</v>
      </c>
      <c r="F32" s="37">
        <v>10</v>
      </c>
      <c r="G32" s="37">
        <v>3</v>
      </c>
      <c r="H32" s="37">
        <v>3</v>
      </c>
      <c r="I32" s="37">
        <v>6</v>
      </c>
      <c r="J32" s="37">
        <v>3</v>
      </c>
      <c r="K32" s="19">
        <v>0.48380000000000001</v>
      </c>
      <c r="L32" s="48">
        <v>2.69</v>
      </c>
      <c r="M32" s="48">
        <v>4.3499999999999996</v>
      </c>
      <c r="N32" s="48">
        <v>5.62</v>
      </c>
      <c r="O32" s="48">
        <v>6.59</v>
      </c>
      <c r="P32" s="52">
        <v>81535.77</v>
      </c>
      <c r="Q32" s="46">
        <v>49213.586000000003</v>
      </c>
      <c r="R32" s="52">
        <v>94543.98</v>
      </c>
      <c r="S32" s="46">
        <v>-20449.063999999998</v>
      </c>
      <c r="T32" s="52">
        <v>97173.35</v>
      </c>
      <c r="U32" s="46">
        <v>18456.441999999999</v>
      </c>
      <c r="V32" s="52">
        <v>88326.43</v>
      </c>
      <c r="W32" s="60">
        <v>107192.81</v>
      </c>
    </row>
    <row r="33" spans="1:23" ht="25">
      <c r="A33" s="38" t="s">
        <v>129</v>
      </c>
      <c r="B33" s="38" t="s">
        <v>42</v>
      </c>
      <c r="C33" s="38" t="s">
        <v>123</v>
      </c>
      <c r="D33" s="39">
        <v>46</v>
      </c>
      <c r="E33" s="41">
        <v>10</v>
      </c>
      <c r="F33" s="41">
        <v>10</v>
      </c>
      <c r="G33" s="41">
        <v>3</v>
      </c>
      <c r="H33" s="41">
        <v>10</v>
      </c>
      <c r="I33" s="41">
        <v>6</v>
      </c>
      <c r="J33" s="41">
        <v>3</v>
      </c>
      <c r="K33" s="40">
        <v>0.41020000000000001</v>
      </c>
      <c r="L33" s="48">
        <v>2.36</v>
      </c>
      <c r="M33" s="48">
        <v>2.88</v>
      </c>
      <c r="N33" s="48">
        <v>4.6399999999999997</v>
      </c>
      <c r="O33" s="48">
        <v>5.01</v>
      </c>
      <c r="P33" s="52">
        <v>185492.9</v>
      </c>
      <c r="Q33" s="46">
        <v>72253.922000000006</v>
      </c>
      <c r="R33" s="52">
        <v>241407.88</v>
      </c>
      <c r="S33" s="46">
        <v>112074.284</v>
      </c>
      <c r="T33" s="52">
        <v>256070.98</v>
      </c>
      <c r="U33" s="46">
        <v>33673.546000000002</v>
      </c>
      <c r="V33" s="52">
        <v>238144.53</v>
      </c>
      <c r="W33" s="60">
        <v>116005.03</v>
      </c>
    </row>
    <row r="34" spans="1:23" ht="25">
      <c r="A34" s="7" t="s">
        <v>133</v>
      </c>
      <c r="B34" s="7" t="s">
        <v>42</v>
      </c>
      <c r="C34" s="7" t="s">
        <v>123</v>
      </c>
      <c r="D34" s="36">
        <v>42</v>
      </c>
      <c r="E34" s="37">
        <v>10</v>
      </c>
      <c r="F34" s="37">
        <v>10</v>
      </c>
      <c r="G34" s="37">
        <v>3</v>
      </c>
      <c r="H34" s="37">
        <v>8</v>
      </c>
      <c r="I34" s="37">
        <v>6</v>
      </c>
      <c r="J34" s="37">
        <v>3</v>
      </c>
      <c r="K34" s="19">
        <v>0.66810000000000003</v>
      </c>
      <c r="L34" s="48">
        <v>2.2000000000000002</v>
      </c>
      <c r="M34" s="48">
        <v>2.96</v>
      </c>
      <c r="N34" s="48">
        <v>4.18</v>
      </c>
      <c r="O34" s="48">
        <v>6.2</v>
      </c>
      <c r="P34" s="52">
        <v>271302.26</v>
      </c>
      <c r="Q34" s="46">
        <v>503.928</v>
      </c>
      <c r="R34" s="52">
        <v>306529.43</v>
      </c>
      <c r="S34" s="46">
        <v>9541.31</v>
      </c>
      <c r="T34" s="52">
        <v>259002.41</v>
      </c>
      <c r="U34" s="46">
        <v>77859.937999999995</v>
      </c>
      <c r="V34" s="52">
        <v>251100.47</v>
      </c>
      <c r="W34" s="60">
        <v>233712.82</v>
      </c>
    </row>
    <row r="35" spans="1:23" ht="25">
      <c r="A35" s="38" t="s">
        <v>131</v>
      </c>
      <c r="B35" s="38" t="s">
        <v>42</v>
      </c>
      <c r="C35" s="38" t="s">
        <v>123</v>
      </c>
      <c r="D35" s="39">
        <v>44</v>
      </c>
      <c r="E35" s="41">
        <v>8</v>
      </c>
      <c r="F35" s="41">
        <v>8</v>
      </c>
      <c r="G35" s="41">
        <v>5</v>
      </c>
      <c r="H35" s="41">
        <v>9</v>
      </c>
      <c r="I35" s="41">
        <v>7</v>
      </c>
      <c r="J35" s="41">
        <v>5</v>
      </c>
      <c r="K35" s="40">
        <v>0.39360000000000001</v>
      </c>
      <c r="L35" s="48">
        <v>7.06</v>
      </c>
      <c r="M35" s="48">
        <v>6.26</v>
      </c>
      <c r="N35" s="48">
        <v>6.34</v>
      </c>
      <c r="O35" s="48">
        <v>5.67</v>
      </c>
      <c r="P35" s="52">
        <v>15546.3</v>
      </c>
      <c r="Q35" s="46" t="e">
        <v>#N/A</v>
      </c>
      <c r="R35" s="52">
        <v>17631.64</v>
      </c>
      <c r="S35" s="46" t="e">
        <v>#N/A</v>
      </c>
      <c r="T35" s="52">
        <v>18046.8</v>
      </c>
      <c r="U35" s="46" t="e">
        <v>#N/A</v>
      </c>
      <c r="V35" s="52">
        <v>18405.98</v>
      </c>
      <c r="W35" s="60">
        <v>-3367.52</v>
      </c>
    </row>
    <row r="36" spans="1:23" ht="25">
      <c r="A36" s="7" t="s">
        <v>122</v>
      </c>
      <c r="B36" s="7" t="s">
        <v>42</v>
      </c>
      <c r="C36" s="7" t="s">
        <v>123</v>
      </c>
      <c r="D36" s="36">
        <v>49</v>
      </c>
      <c r="E36" s="37">
        <v>10</v>
      </c>
      <c r="F36" s="37">
        <v>10</v>
      </c>
      <c r="G36" s="37">
        <v>3</v>
      </c>
      <c r="H36" s="37">
        <v>10</v>
      </c>
      <c r="I36" s="37">
        <v>7</v>
      </c>
      <c r="J36" s="37">
        <v>3</v>
      </c>
      <c r="K36" s="19">
        <v>1.2057</v>
      </c>
      <c r="L36" s="48">
        <v>2.36</v>
      </c>
      <c r="M36" s="48">
        <v>3.71</v>
      </c>
      <c r="N36" s="48">
        <v>4.13</v>
      </c>
      <c r="O36" s="48">
        <v>5.47</v>
      </c>
      <c r="P36" s="52">
        <v>149675.54999999999</v>
      </c>
      <c r="Q36" s="46">
        <v>-63134.733</v>
      </c>
      <c r="R36" s="52">
        <v>189487.17</v>
      </c>
      <c r="S36" s="46">
        <v>-499.839</v>
      </c>
      <c r="T36" s="52">
        <v>206630.47</v>
      </c>
      <c r="U36" s="46">
        <v>138294.30100000001</v>
      </c>
      <c r="V36" s="52">
        <v>189848.59</v>
      </c>
      <c r="W36" s="60">
        <v>192954.56</v>
      </c>
    </row>
    <row r="37" spans="1:23">
      <c r="A37" s="38" t="s">
        <v>130</v>
      </c>
      <c r="B37" s="38" t="s">
        <v>42</v>
      </c>
      <c r="C37" s="38" t="s">
        <v>123</v>
      </c>
      <c r="D37" s="39">
        <v>45</v>
      </c>
      <c r="E37" s="41">
        <v>10</v>
      </c>
      <c r="F37" s="41">
        <v>3</v>
      </c>
      <c r="G37" s="41">
        <v>3</v>
      </c>
      <c r="H37" s="41">
        <v>9</v>
      </c>
      <c r="I37" s="41">
        <v>6</v>
      </c>
      <c r="J37" s="41">
        <v>3</v>
      </c>
      <c r="K37" s="40">
        <v>-0.87719999999999998</v>
      </c>
      <c r="L37" s="48">
        <v>3.24</v>
      </c>
      <c r="M37" s="48">
        <v>1</v>
      </c>
      <c r="N37" s="48">
        <v>3.85</v>
      </c>
      <c r="O37" s="48">
        <v>3.33</v>
      </c>
      <c r="P37" s="52">
        <v>10866.82</v>
      </c>
      <c r="Q37" s="46">
        <v>4596.8429999999998</v>
      </c>
      <c r="R37" s="52">
        <v>13686.39</v>
      </c>
      <c r="S37" s="46">
        <v>-1962.193</v>
      </c>
      <c r="T37" s="52">
        <v>14775.04</v>
      </c>
      <c r="U37" s="46">
        <v>-9116.3330000000005</v>
      </c>
      <c r="V37" s="52">
        <v>15414.09</v>
      </c>
      <c r="W37" s="60">
        <v>3834.31</v>
      </c>
    </row>
    <row r="38" spans="1:23" ht="25">
      <c r="A38" s="7" t="s">
        <v>137</v>
      </c>
      <c r="B38" s="7" t="s">
        <v>42</v>
      </c>
      <c r="C38" s="7" t="s">
        <v>125</v>
      </c>
      <c r="D38" s="36">
        <v>30</v>
      </c>
      <c r="E38" s="37">
        <v>4</v>
      </c>
      <c r="F38" s="37">
        <v>5</v>
      </c>
      <c r="G38" s="37">
        <v>3</v>
      </c>
      <c r="H38" s="37">
        <v>3</v>
      </c>
      <c r="I38" s="37">
        <v>7</v>
      </c>
      <c r="J38" s="37">
        <v>3</v>
      </c>
      <c r="K38" s="19">
        <v>2.9026000000000001</v>
      </c>
      <c r="L38" s="48">
        <v>3.21</v>
      </c>
      <c r="M38" s="48">
        <v>7.24</v>
      </c>
      <c r="N38" s="48">
        <v>11.26</v>
      </c>
      <c r="O38" s="48">
        <v>3.29</v>
      </c>
      <c r="P38" s="52">
        <v>5623.6</v>
      </c>
      <c r="Q38" s="46">
        <v>-10250.89085</v>
      </c>
      <c r="R38" s="52">
        <v>6498.71</v>
      </c>
      <c r="S38" s="46">
        <v>-7357.3367820000003</v>
      </c>
      <c r="T38" s="52">
        <v>6408.12</v>
      </c>
      <c r="U38" s="46">
        <v>5806.3118690000001</v>
      </c>
      <c r="V38" s="52">
        <v>5455.3</v>
      </c>
      <c r="W38" s="60">
        <v>12017.17</v>
      </c>
    </row>
    <row r="39" spans="1:23">
      <c r="A39" s="38" t="s">
        <v>126</v>
      </c>
      <c r="B39" s="38" t="s">
        <v>42</v>
      </c>
      <c r="C39" s="38" t="s">
        <v>125</v>
      </c>
      <c r="D39" s="39">
        <v>47</v>
      </c>
      <c r="E39" s="41">
        <v>4</v>
      </c>
      <c r="F39" s="41">
        <v>3</v>
      </c>
      <c r="G39" s="41">
        <v>8</v>
      </c>
      <c r="H39" s="41">
        <v>8</v>
      </c>
      <c r="I39" s="41">
        <v>9</v>
      </c>
      <c r="J39" s="41">
        <v>9</v>
      </c>
      <c r="K39" s="40">
        <v>0.7147</v>
      </c>
      <c r="L39" s="48">
        <v>9.39</v>
      </c>
      <c r="M39" s="48">
        <v>7.5</v>
      </c>
      <c r="N39" s="48">
        <v>4.5999999999999996</v>
      </c>
      <c r="O39" s="48">
        <v>3.89</v>
      </c>
      <c r="P39" s="52">
        <v>1095.73</v>
      </c>
      <c r="Q39" s="46">
        <v>198.72855100000001</v>
      </c>
      <c r="R39" s="52">
        <v>1133.3699999999999</v>
      </c>
      <c r="S39" s="46">
        <v>364.244482</v>
      </c>
      <c r="T39" s="52">
        <v>1375.42</v>
      </c>
      <c r="U39" s="46">
        <v>251.70701099999999</v>
      </c>
      <c r="V39" s="52">
        <v>1586.18</v>
      </c>
      <c r="W39" s="60">
        <v>-21.32</v>
      </c>
    </row>
    <row r="40" spans="1:23">
      <c r="A40" s="7" t="s">
        <v>124</v>
      </c>
      <c r="B40" s="7" t="s">
        <v>42</v>
      </c>
      <c r="C40" s="7" t="s">
        <v>125</v>
      </c>
      <c r="D40" s="36">
        <v>49</v>
      </c>
      <c r="E40" s="37">
        <v>4</v>
      </c>
      <c r="F40" s="37">
        <v>3</v>
      </c>
      <c r="G40" s="37">
        <v>8</v>
      </c>
      <c r="H40" s="37">
        <v>8</v>
      </c>
      <c r="I40" s="37">
        <v>9</v>
      </c>
      <c r="J40" s="37">
        <v>9</v>
      </c>
      <c r="K40" s="19">
        <v>1.7735000000000001</v>
      </c>
      <c r="L40" s="48">
        <v>9.39</v>
      </c>
      <c r="M40" s="48">
        <v>7.5</v>
      </c>
      <c r="N40" s="48">
        <v>4.5999999999999996</v>
      </c>
      <c r="O40" s="48">
        <v>3.89</v>
      </c>
      <c r="P40" s="52">
        <v>1095.73</v>
      </c>
      <c r="Q40" s="46">
        <v>666.43342900000005</v>
      </c>
      <c r="R40" s="52">
        <v>1133.3699999999999</v>
      </c>
      <c r="S40" s="46">
        <v>1011.683898</v>
      </c>
      <c r="T40" s="52">
        <v>1375.42</v>
      </c>
      <c r="U40" s="46">
        <v>769.57754999999997</v>
      </c>
      <c r="V40" s="52">
        <v>1586.18</v>
      </c>
      <c r="W40" s="60">
        <v>1053.44</v>
      </c>
    </row>
    <row r="41" spans="1:23">
      <c r="A41" s="38" t="s">
        <v>139</v>
      </c>
      <c r="B41" s="38" t="s">
        <v>42</v>
      </c>
      <c r="C41" s="38" t="s">
        <v>125</v>
      </c>
      <c r="D41" s="39">
        <v>23</v>
      </c>
      <c r="E41" s="41">
        <v>2</v>
      </c>
      <c r="F41" s="41">
        <v>5</v>
      </c>
      <c r="G41" s="41">
        <v>3</v>
      </c>
      <c r="H41" s="41">
        <v>3</v>
      </c>
      <c r="I41" s="41">
        <v>6</v>
      </c>
      <c r="J41" s="41">
        <v>3</v>
      </c>
      <c r="K41" s="40">
        <v>3.2660999999999998</v>
      </c>
      <c r="L41" s="48">
        <v>0.34</v>
      </c>
      <c r="M41" s="48">
        <v>3.47</v>
      </c>
      <c r="N41" s="48">
        <v>5.94</v>
      </c>
      <c r="O41" s="48">
        <v>5.47</v>
      </c>
      <c r="P41" s="52">
        <v>2124.36</v>
      </c>
      <c r="Q41" s="46">
        <v>199.23099999999999</v>
      </c>
      <c r="R41" s="52">
        <v>2877.73</v>
      </c>
      <c r="S41" s="46">
        <v>523.12900000000002</v>
      </c>
      <c r="T41" s="52">
        <v>2860.72</v>
      </c>
      <c r="U41" s="46">
        <v>1719.1110000000001</v>
      </c>
      <c r="V41" s="52">
        <v>2152.6</v>
      </c>
      <c r="W41" s="60">
        <v>305.08999999999997</v>
      </c>
    </row>
    <row r="42" spans="1:23">
      <c r="A42" s="7" t="s">
        <v>135</v>
      </c>
      <c r="B42" s="7" t="s">
        <v>42</v>
      </c>
      <c r="C42" s="7" t="s">
        <v>125</v>
      </c>
      <c r="D42" s="36">
        <v>34</v>
      </c>
      <c r="E42" s="37">
        <v>5</v>
      </c>
      <c r="F42" s="37">
        <v>3</v>
      </c>
      <c r="G42" s="37">
        <v>5</v>
      </c>
      <c r="H42" s="37">
        <v>3</v>
      </c>
      <c r="I42" s="37">
        <v>7</v>
      </c>
      <c r="J42" s="37">
        <v>5</v>
      </c>
      <c r="K42" s="19">
        <v>0.62050000000000005</v>
      </c>
      <c r="L42" s="48">
        <v>11</v>
      </c>
      <c r="M42" s="48">
        <v>7.75</v>
      </c>
      <c r="N42" s="48">
        <v>7.31</v>
      </c>
      <c r="O42" s="48">
        <v>7.79</v>
      </c>
      <c r="P42" s="52">
        <v>4145.54</v>
      </c>
      <c r="Q42" s="46">
        <v>318.94137699999999</v>
      </c>
      <c r="R42" s="52">
        <v>3796.65</v>
      </c>
      <c r="S42" s="46">
        <v>1812.301246</v>
      </c>
      <c r="T42" s="52">
        <v>3709</v>
      </c>
      <c r="U42" s="46">
        <v>923.32980199999997</v>
      </c>
      <c r="V42" s="52">
        <v>3685.59</v>
      </c>
      <c r="W42" s="60">
        <v>2444.65</v>
      </c>
    </row>
    <row r="43" spans="1:23">
      <c r="A43" s="38" t="s">
        <v>136</v>
      </c>
      <c r="B43" s="38" t="s">
        <v>42</v>
      </c>
      <c r="C43" s="38" t="s">
        <v>125</v>
      </c>
      <c r="D43" s="39">
        <v>32</v>
      </c>
      <c r="E43" s="41">
        <v>5</v>
      </c>
      <c r="F43" s="41">
        <v>3</v>
      </c>
      <c r="G43" s="41">
        <v>3</v>
      </c>
      <c r="H43" s="41">
        <v>3</v>
      </c>
      <c r="I43" s="41">
        <v>4</v>
      </c>
      <c r="J43" s="41">
        <v>3</v>
      </c>
      <c r="K43" s="40">
        <v>0.41170000000000001</v>
      </c>
      <c r="L43" s="48">
        <v>3.48</v>
      </c>
      <c r="M43" s="48">
        <v>6.75</v>
      </c>
      <c r="N43" s="48">
        <v>6.23</v>
      </c>
      <c r="O43" s="48">
        <v>4.38</v>
      </c>
      <c r="P43" s="52">
        <v>12780.63</v>
      </c>
      <c r="Q43" s="46" t="e">
        <v>#N/A</v>
      </c>
      <c r="R43" s="52">
        <v>12004.59</v>
      </c>
      <c r="S43" s="46" t="e">
        <v>#N/A</v>
      </c>
      <c r="T43" s="52">
        <v>12782.54</v>
      </c>
      <c r="U43" s="46" t="e">
        <v>#N/A</v>
      </c>
      <c r="V43" s="52">
        <v>13301.41</v>
      </c>
      <c r="W43" s="60">
        <v>8169.57</v>
      </c>
    </row>
    <row r="44" spans="1:23">
      <c r="A44" s="7" t="s">
        <v>138</v>
      </c>
      <c r="B44" s="7" t="s">
        <v>42</v>
      </c>
      <c r="C44" s="7" t="s">
        <v>128</v>
      </c>
      <c r="D44" s="36">
        <v>24</v>
      </c>
      <c r="E44" s="37">
        <v>4</v>
      </c>
      <c r="F44" s="37">
        <v>3</v>
      </c>
      <c r="G44" s="37">
        <v>3</v>
      </c>
      <c r="H44" s="37">
        <v>3</v>
      </c>
      <c r="I44" s="37">
        <v>8</v>
      </c>
      <c r="J44" s="37">
        <v>3</v>
      </c>
      <c r="K44" s="19">
        <v>0.25459999999999999</v>
      </c>
      <c r="L44" s="48">
        <v>4.21</v>
      </c>
      <c r="M44" s="48">
        <v>5.47</v>
      </c>
      <c r="N44" s="48">
        <v>4.6900000000000004</v>
      </c>
      <c r="O44" s="48">
        <v>5.13</v>
      </c>
      <c r="P44" s="52">
        <v>17239.07</v>
      </c>
      <c r="Q44" s="46" t="e">
        <v>#N/A</v>
      </c>
      <c r="R44" s="52">
        <v>17356.09</v>
      </c>
      <c r="S44" s="46" t="e">
        <v>#N/A</v>
      </c>
      <c r="T44" s="52">
        <v>19311.189999999999</v>
      </c>
      <c r="U44" s="46" t="e">
        <v>#N/A</v>
      </c>
      <c r="V44" s="52">
        <v>20052.96</v>
      </c>
      <c r="W44" s="60">
        <v>455.7</v>
      </c>
    </row>
    <row r="45" spans="1:23">
      <c r="A45" s="38" t="s">
        <v>134</v>
      </c>
      <c r="B45" s="38" t="s">
        <v>42</v>
      </c>
      <c r="C45" s="38" t="s">
        <v>128</v>
      </c>
      <c r="D45" s="39">
        <v>37</v>
      </c>
      <c r="E45" s="41">
        <v>2</v>
      </c>
      <c r="F45" s="41">
        <v>5</v>
      </c>
      <c r="G45" s="41">
        <v>6</v>
      </c>
      <c r="H45" s="41">
        <v>3</v>
      </c>
      <c r="I45" s="41">
        <v>6</v>
      </c>
      <c r="J45" s="41">
        <v>6</v>
      </c>
      <c r="K45" s="40">
        <v>1.627</v>
      </c>
      <c r="L45" s="48">
        <v>3.69</v>
      </c>
      <c r="M45" s="48">
        <v>16.12</v>
      </c>
      <c r="N45" s="48">
        <v>8.36</v>
      </c>
      <c r="O45" s="48">
        <v>7.29</v>
      </c>
      <c r="P45" s="52">
        <v>8303.44</v>
      </c>
      <c r="Q45" s="46" t="e">
        <v>#N/A</v>
      </c>
      <c r="R45" s="52">
        <v>10402.950000000001</v>
      </c>
      <c r="S45" s="46" t="e">
        <v>#N/A</v>
      </c>
      <c r="T45" s="52">
        <v>11027.21</v>
      </c>
      <c r="U45" s="46" t="e">
        <v>#N/A</v>
      </c>
      <c r="V45" s="52">
        <v>10836.67</v>
      </c>
      <c r="W45" s="60">
        <v>164.45</v>
      </c>
    </row>
    <row r="46" spans="1:23">
      <c r="A46" s="7" t="s">
        <v>127</v>
      </c>
      <c r="B46" s="7" t="s">
        <v>42</v>
      </c>
      <c r="C46" s="7" t="s">
        <v>128</v>
      </c>
      <c r="D46" s="36">
        <v>47</v>
      </c>
      <c r="E46" s="37">
        <v>10</v>
      </c>
      <c r="F46" s="37">
        <v>3</v>
      </c>
      <c r="G46" s="37">
        <v>3</v>
      </c>
      <c r="H46" s="37">
        <v>3</v>
      </c>
      <c r="I46" s="37">
        <v>6</v>
      </c>
      <c r="J46" s="37">
        <v>3</v>
      </c>
      <c r="K46" s="19">
        <v>-0.1188</v>
      </c>
      <c r="L46" s="48">
        <v>1.95</v>
      </c>
      <c r="M46" s="48">
        <v>3</v>
      </c>
      <c r="N46" s="48">
        <v>2.27</v>
      </c>
      <c r="O46" s="48">
        <v>3.38</v>
      </c>
      <c r="P46" s="52">
        <v>47994.3</v>
      </c>
      <c r="Q46" s="46">
        <v>6598.7730000000001</v>
      </c>
      <c r="R46" s="52">
        <v>46083.5</v>
      </c>
      <c r="S46" s="46">
        <v>4390.2690000000002</v>
      </c>
      <c r="T46" s="52">
        <v>23634.71</v>
      </c>
      <c r="U46" s="46">
        <v>-4848.0379999999996</v>
      </c>
      <c r="V46" s="52">
        <v>23348.63</v>
      </c>
      <c r="W46" s="60">
        <v>-2297.1</v>
      </c>
    </row>
    <row r="47" spans="1:23">
      <c r="A47" s="38" t="s">
        <v>172</v>
      </c>
      <c r="B47" s="38" t="s">
        <v>46</v>
      </c>
      <c r="C47" s="38" t="s">
        <v>171</v>
      </c>
      <c r="D47" s="39">
        <v>44</v>
      </c>
      <c r="E47" s="41">
        <v>8</v>
      </c>
      <c r="F47" s="41">
        <v>5</v>
      </c>
      <c r="G47" s="41">
        <v>9</v>
      </c>
      <c r="H47" s="41">
        <v>3</v>
      </c>
      <c r="I47" s="41">
        <v>7</v>
      </c>
      <c r="J47" s="41">
        <v>10</v>
      </c>
      <c r="K47" s="40">
        <v>0.76290000000000002</v>
      </c>
      <c r="L47" s="48">
        <v>1.53</v>
      </c>
      <c r="M47" s="48">
        <v>9.3800000000000008</v>
      </c>
      <c r="N47" s="48">
        <v>5.81</v>
      </c>
      <c r="O47" s="48">
        <v>7.86</v>
      </c>
      <c r="P47" s="52">
        <v>2965.41</v>
      </c>
      <c r="Q47" s="46">
        <v>440.10534999999999</v>
      </c>
      <c r="R47" s="52">
        <v>2546.35</v>
      </c>
      <c r="S47" s="46">
        <v>305.99485199999998</v>
      </c>
      <c r="T47" s="52">
        <v>2568.06</v>
      </c>
      <c r="U47" s="46">
        <v>365.45675999999997</v>
      </c>
      <c r="V47" s="52">
        <v>2075.9</v>
      </c>
      <c r="W47" s="60">
        <v>181.14</v>
      </c>
    </row>
    <row r="48" spans="1:23">
      <c r="A48" s="7" t="s">
        <v>177</v>
      </c>
      <c r="B48" s="7" t="s">
        <v>46</v>
      </c>
      <c r="C48" s="7" t="s">
        <v>171</v>
      </c>
      <c r="D48" s="36">
        <v>39</v>
      </c>
      <c r="E48" s="37">
        <v>4</v>
      </c>
      <c r="F48" s="37">
        <v>3</v>
      </c>
      <c r="G48" s="37">
        <v>10</v>
      </c>
      <c r="H48" s="37">
        <v>3</v>
      </c>
      <c r="I48" s="37">
        <v>6</v>
      </c>
      <c r="J48" s="37">
        <v>10</v>
      </c>
      <c r="K48" s="19">
        <v>0.84970000000000001</v>
      </c>
      <c r="L48" s="48">
        <v>5.36</v>
      </c>
      <c r="M48" s="48">
        <v>5.03</v>
      </c>
      <c r="N48" s="48">
        <v>5.88</v>
      </c>
      <c r="O48" s="48">
        <v>3.64</v>
      </c>
      <c r="P48" s="52">
        <v>2909.32</v>
      </c>
      <c r="Q48" s="46">
        <v>251.193556</v>
      </c>
      <c r="R48" s="52">
        <v>2769.38</v>
      </c>
      <c r="S48" s="46">
        <v>504.35686600000002</v>
      </c>
      <c r="T48" s="52">
        <v>2107.19</v>
      </c>
      <c r="U48" s="46">
        <v>292.543995</v>
      </c>
      <c r="V48" s="52">
        <v>2379.52</v>
      </c>
      <c r="W48" s="60">
        <v>242.16</v>
      </c>
    </row>
    <row r="49" spans="1:23">
      <c r="A49" s="38" t="s">
        <v>170</v>
      </c>
      <c r="B49" s="38" t="s">
        <v>46</v>
      </c>
      <c r="C49" s="38" t="s">
        <v>171</v>
      </c>
      <c r="D49" s="39">
        <v>45</v>
      </c>
      <c r="E49" s="41">
        <v>9</v>
      </c>
      <c r="F49" s="41">
        <v>3</v>
      </c>
      <c r="G49" s="41">
        <v>6</v>
      </c>
      <c r="H49" s="41">
        <v>6</v>
      </c>
      <c r="I49" s="41">
        <v>4</v>
      </c>
      <c r="J49" s="41">
        <v>6</v>
      </c>
      <c r="K49" s="40">
        <v>1.1224000000000001</v>
      </c>
      <c r="L49" s="48">
        <v>0.88</v>
      </c>
      <c r="M49" s="48">
        <v>1.01</v>
      </c>
      <c r="N49" s="48">
        <v>1.49</v>
      </c>
      <c r="O49" s="48">
        <v>4.3600000000000003</v>
      </c>
      <c r="P49" s="52">
        <v>1794.01</v>
      </c>
      <c r="Q49" s="46">
        <v>80.528227999999999</v>
      </c>
      <c r="R49" s="52">
        <v>1820.51</v>
      </c>
      <c r="S49" s="46">
        <v>80.940607999999997</v>
      </c>
      <c r="T49" s="52">
        <v>1512.24</v>
      </c>
      <c r="U49" s="46">
        <v>159.78742</v>
      </c>
      <c r="V49" s="52">
        <v>1358.19</v>
      </c>
      <c r="W49" s="60">
        <v>3.7</v>
      </c>
    </row>
    <row r="50" spans="1:23">
      <c r="A50" s="7" t="s">
        <v>178</v>
      </c>
      <c r="B50" s="7" t="s">
        <v>46</v>
      </c>
      <c r="C50" s="7" t="s">
        <v>167</v>
      </c>
      <c r="D50" s="36">
        <v>38</v>
      </c>
      <c r="E50" s="37">
        <v>2</v>
      </c>
      <c r="F50" s="37">
        <v>3</v>
      </c>
      <c r="G50" s="37">
        <v>6</v>
      </c>
      <c r="H50" s="37">
        <v>3</v>
      </c>
      <c r="I50" s="37">
        <v>6</v>
      </c>
      <c r="J50" s="37">
        <v>6</v>
      </c>
      <c r="K50" s="19">
        <v>1.3933</v>
      </c>
      <c r="L50" s="48">
        <v>6.32</v>
      </c>
      <c r="M50" s="48">
        <v>4.88</v>
      </c>
      <c r="N50" s="48">
        <v>6.21</v>
      </c>
      <c r="O50" s="48">
        <v>4.08</v>
      </c>
      <c r="P50" s="52">
        <v>3118.52</v>
      </c>
      <c r="Q50" s="46">
        <v>-52.530374000000002</v>
      </c>
      <c r="R50" s="52">
        <v>3466.57</v>
      </c>
      <c r="S50" s="46">
        <v>78.281159000000002</v>
      </c>
      <c r="T50" s="52">
        <v>3198.43</v>
      </c>
      <c r="U50" s="46">
        <v>581.39617499999997</v>
      </c>
      <c r="V50" s="52">
        <v>3379.23</v>
      </c>
      <c r="W50" s="60">
        <v>373.16</v>
      </c>
    </row>
    <row r="51" spans="1:23">
      <c r="A51" s="38" t="s">
        <v>166</v>
      </c>
      <c r="B51" s="38" t="s">
        <v>46</v>
      </c>
      <c r="C51" s="38" t="s">
        <v>167</v>
      </c>
      <c r="D51" s="39">
        <v>48</v>
      </c>
      <c r="E51" s="41">
        <v>9</v>
      </c>
      <c r="F51" s="41">
        <v>10</v>
      </c>
      <c r="G51" s="41">
        <v>7</v>
      </c>
      <c r="H51" s="41">
        <v>10</v>
      </c>
      <c r="I51" s="41">
        <v>8</v>
      </c>
      <c r="J51" s="41">
        <v>8</v>
      </c>
      <c r="K51" s="40">
        <v>0.61599999999999999</v>
      </c>
      <c r="L51" s="48">
        <v>3.41</v>
      </c>
      <c r="M51" s="48">
        <v>7.23</v>
      </c>
      <c r="N51" s="48">
        <v>7.84</v>
      </c>
      <c r="O51" s="48">
        <v>11.49</v>
      </c>
      <c r="P51" s="52">
        <v>2120.96</v>
      </c>
      <c r="Q51" s="46">
        <v>116.045411</v>
      </c>
      <c r="R51" s="52">
        <v>2300.96</v>
      </c>
      <c r="S51" s="46">
        <v>387.737053</v>
      </c>
      <c r="T51" s="52">
        <v>2587.2600000000002</v>
      </c>
      <c r="U51" s="46">
        <v>285.47868</v>
      </c>
      <c r="V51" s="52">
        <v>1981.32</v>
      </c>
      <c r="W51" s="60">
        <v>304.81</v>
      </c>
    </row>
    <row r="52" spans="1:23">
      <c r="A52" s="7" t="s">
        <v>169</v>
      </c>
      <c r="B52" s="7" t="s">
        <v>46</v>
      </c>
      <c r="C52" s="7" t="s">
        <v>167</v>
      </c>
      <c r="D52" s="36">
        <v>46</v>
      </c>
      <c r="E52" s="37">
        <v>9</v>
      </c>
      <c r="F52" s="37">
        <v>10</v>
      </c>
      <c r="G52" s="37">
        <v>5</v>
      </c>
      <c r="H52" s="37">
        <v>6</v>
      </c>
      <c r="I52" s="37">
        <v>7</v>
      </c>
      <c r="J52" s="37">
        <v>5</v>
      </c>
      <c r="K52" s="19">
        <v>0.35720000000000002</v>
      </c>
      <c r="L52" s="48">
        <v>0</v>
      </c>
      <c r="M52" s="48">
        <v>4.67</v>
      </c>
      <c r="N52" s="48">
        <v>7.3</v>
      </c>
      <c r="O52" s="48">
        <v>7.95</v>
      </c>
      <c r="P52" s="52">
        <v>4860.88</v>
      </c>
      <c r="Q52" s="46">
        <v>213.42089300000001</v>
      </c>
      <c r="R52" s="52">
        <v>4630.66</v>
      </c>
      <c r="S52" s="46">
        <v>839.70145100000002</v>
      </c>
      <c r="T52" s="52">
        <v>5568.2</v>
      </c>
      <c r="U52" s="46">
        <v>253.55538899999999</v>
      </c>
      <c r="V52" s="52">
        <v>4087.49</v>
      </c>
      <c r="W52" s="60">
        <v>1.85</v>
      </c>
    </row>
    <row r="53" spans="1:23">
      <c r="A53" s="38" t="s">
        <v>173</v>
      </c>
      <c r="B53" s="38" t="s">
        <v>46</v>
      </c>
      <c r="C53" s="38" t="s">
        <v>174</v>
      </c>
      <c r="D53" s="39">
        <v>43</v>
      </c>
      <c r="E53" s="41">
        <v>7</v>
      </c>
      <c r="F53" s="41">
        <v>5</v>
      </c>
      <c r="G53" s="41">
        <v>10</v>
      </c>
      <c r="H53" s="41">
        <v>3</v>
      </c>
      <c r="I53" s="41">
        <v>9</v>
      </c>
      <c r="J53" s="41">
        <v>10</v>
      </c>
      <c r="K53" s="40">
        <v>1.1841999999999999</v>
      </c>
      <c r="L53" s="48">
        <v>4.3</v>
      </c>
      <c r="M53" s="48">
        <v>5.88</v>
      </c>
      <c r="N53" s="48">
        <v>10.32</v>
      </c>
      <c r="O53" s="48">
        <v>8.67</v>
      </c>
      <c r="P53" s="52">
        <v>4979.66</v>
      </c>
      <c r="Q53" s="46">
        <v>1320.97919</v>
      </c>
      <c r="R53" s="52">
        <v>4191.84</v>
      </c>
      <c r="S53" s="46">
        <v>1159.0600219999999</v>
      </c>
      <c r="T53" s="52">
        <v>3980.86</v>
      </c>
      <c r="U53" s="46">
        <v>686.08362199999999</v>
      </c>
      <c r="V53" s="52">
        <v>3769.71</v>
      </c>
      <c r="W53" s="60">
        <v>830.6</v>
      </c>
    </row>
    <row r="54" spans="1:23">
      <c r="A54" s="7" t="s">
        <v>179</v>
      </c>
      <c r="B54" s="7" t="s">
        <v>46</v>
      </c>
      <c r="C54" s="7" t="s">
        <v>176</v>
      </c>
      <c r="D54" s="36">
        <v>35</v>
      </c>
      <c r="E54" s="37">
        <v>10</v>
      </c>
      <c r="F54" s="37">
        <v>3</v>
      </c>
      <c r="G54" s="37">
        <v>3</v>
      </c>
      <c r="H54" s="37">
        <v>3</v>
      </c>
      <c r="I54" s="37">
        <v>4</v>
      </c>
      <c r="J54" s="37">
        <v>3</v>
      </c>
      <c r="K54" s="19">
        <v>0.1961</v>
      </c>
      <c r="L54" s="48">
        <v>2.4500000000000002</v>
      </c>
      <c r="M54" s="48">
        <v>5.87</v>
      </c>
      <c r="N54" s="48">
        <v>3.71</v>
      </c>
      <c r="O54" s="48">
        <v>4.3499999999999996</v>
      </c>
      <c r="P54" s="52">
        <v>665548.56999999995</v>
      </c>
      <c r="Q54" s="46">
        <v>669.00654899999995</v>
      </c>
      <c r="R54" s="52">
        <v>547731.79</v>
      </c>
      <c r="S54" s="46">
        <v>2009.8542190000001</v>
      </c>
      <c r="T54" s="52">
        <v>546923.75</v>
      </c>
      <c r="U54" s="46">
        <v>1836.5116989999999</v>
      </c>
      <c r="V54" s="52">
        <v>454519.57</v>
      </c>
      <c r="W54" s="60">
        <v>1282.8</v>
      </c>
    </row>
    <row r="55" spans="1:23">
      <c r="A55" s="38" t="s">
        <v>180</v>
      </c>
      <c r="B55" s="38" t="s">
        <v>46</v>
      </c>
      <c r="C55" s="38" t="s">
        <v>176</v>
      </c>
      <c r="D55" s="39">
        <v>35</v>
      </c>
      <c r="E55" s="41">
        <v>10</v>
      </c>
      <c r="F55" s="41">
        <v>3</v>
      </c>
      <c r="G55" s="41">
        <v>3</v>
      </c>
      <c r="H55" s="41">
        <v>3</v>
      </c>
      <c r="I55" s="41">
        <v>4</v>
      </c>
      <c r="J55" s="41">
        <v>3</v>
      </c>
      <c r="K55" s="40">
        <v>0.1255</v>
      </c>
      <c r="L55" s="50">
        <v>2.4500000000000002</v>
      </c>
      <c r="M55" s="50">
        <v>5.87</v>
      </c>
      <c r="N55" s="50">
        <v>3.71</v>
      </c>
      <c r="O55" s="50">
        <v>4.3499999999999996</v>
      </c>
      <c r="P55" s="52">
        <v>665548.56999999995</v>
      </c>
      <c r="Q55" s="46">
        <v>77981.104000000007</v>
      </c>
      <c r="R55" s="58">
        <v>547731.79</v>
      </c>
      <c r="S55" s="46">
        <v>53133.716</v>
      </c>
      <c r="T55" s="58">
        <v>546923.75</v>
      </c>
      <c r="U55" s="46">
        <v>35112.086000000003</v>
      </c>
      <c r="V55" s="58">
        <v>454519.57</v>
      </c>
      <c r="W55" s="60">
        <v>-17.53</v>
      </c>
    </row>
    <row r="56" spans="1:23">
      <c r="A56" s="7" t="s">
        <v>175</v>
      </c>
      <c r="B56" s="7" t="s">
        <v>46</v>
      </c>
      <c r="C56" s="7" t="s">
        <v>176</v>
      </c>
      <c r="D56" s="36">
        <v>40</v>
      </c>
      <c r="E56" s="37">
        <v>5</v>
      </c>
      <c r="F56" s="37">
        <v>10</v>
      </c>
      <c r="G56" s="37">
        <v>3</v>
      </c>
      <c r="H56" s="37">
        <v>6</v>
      </c>
      <c r="I56" s="37">
        <v>10</v>
      </c>
      <c r="J56" s="37">
        <v>3</v>
      </c>
      <c r="K56" s="19">
        <v>0.28179999999999999</v>
      </c>
      <c r="L56" s="48">
        <v>5.32</v>
      </c>
      <c r="M56" s="48">
        <v>6.54</v>
      </c>
      <c r="N56" s="48">
        <v>7.2</v>
      </c>
      <c r="O56" s="48">
        <v>10</v>
      </c>
      <c r="P56" s="52">
        <v>5532.09</v>
      </c>
      <c r="Q56" s="46">
        <v>36.033071999999997</v>
      </c>
      <c r="R56" s="52">
        <v>5111.3</v>
      </c>
      <c r="S56" s="46">
        <v>266.00179400000002</v>
      </c>
      <c r="T56" s="52">
        <v>5921.9</v>
      </c>
      <c r="U56" s="46">
        <v>77.435834</v>
      </c>
      <c r="V56" s="52">
        <v>5192.75</v>
      </c>
      <c r="W56" s="60">
        <v>280.66000000000003</v>
      </c>
    </row>
    <row r="57" spans="1:23">
      <c r="A57" s="38" t="s">
        <v>168</v>
      </c>
      <c r="B57" s="38" t="s">
        <v>46</v>
      </c>
      <c r="C57" s="38" t="s">
        <v>164</v>
      </c>
      <c r="D57" s="39">
        <v>47</v>
      </c>
      <c r="E57" s="41">
        <v>6</v>
      </c>
      <c r="F57" s="41">
        <v>7</v>
      </c>
      <c r="G57" s="41">
        <v>9</v>
      </c>
      <c r="H57" s="41">
        <v>3</v>
      </c>
      <c r="I57" s="41">
        <v>7</v>
      </c>
      <c r="J57" s="41">
        <v>10</v>
      </c>
      <c r="K57" s="40">
        <v>1.1440999999999999</v>
      </c>
      <c r="L57" s="48">
        <v>6.15</v>
      </c>
      <c r="M57" s="48">
        <v>6.4</v>
      </c>
      <c r="N57" s="48">
        <v>6.4</v>
      </c>
      <c r="O57" s="48">
        <v>6.35</v>
      </c>
      <c r="P57" s="52">
        <v>2301.69</v>
      </c>
      <c r="Q57" s="46">
        <v>490.77583299999998</v>
      </c>
      <c r="R57" s="52">
        <v>1869.1</v>
      </c>
      <c r="S57" s="46">
        <v>374.73742499999997</v>
      </c>
      <c r="T57" s="52">
        <v>1934.2</v>
      </c>
      <c r="U57" s="46">
        <v>354.39195100000001</v>
      </c>
      <c r="V57" s="52">
        <v>1876.95</v>
      </c>
      <c r="W57" s="60">
        <v>346.17</v>
      </c>
    </row>
    <row r="58" spans="1:23">
      <c r="A58" s="7" t="s">
        <v>165</v>
      </c>
      <c r="B58" s="7" t="s">
        <v>46</v>
      </c>
      <c r="C58" s="7" t="s">
        <v>164</v>
      </c>
      <c r="D58" s="36">
        <v>49</v>
      </c>
      <c r="E58" s="37">
        <v>8</v>
      </c>
      <c r="F58" s="37">
        <v>5</v>
      </c>
      <c r="G58" s="37">
        <v>9</v>
      </c>
      <c r="H58" s="37">
        <v>6</v>
      </c>
      <c r="I58" s="37">
        <v>6</v>
      </c>
      <c r="J58" s="37">
        <v>9</v>
      </c>
      <c r="K58" s="19">
        <v>0.74729999999999996</v>
      </c>
      <c r="L58" s="48">
        <v>3.73</v>
      </c>
      <c r="M58" s="48">
        <v>4.92</v>
      </c>
      <c r="N58" s="48">
        <v>3.98</v>
      </c>
      <c r="O58" s="48">
        <v>6.63</v>
      </c>
      <c r="P58" s="52">
        <v>3751.34</v>
      </c>
      <c r="Q58" s="46">
        <v>-6.6281049999999997</v>
      </c>
      <c r="R58" s="52">
        <v>3620.08</v>
      </c>
      <c r="S58" s="46">
        <v>675.97110099999998</v>
      </c>
      <c r="T58" s="52">
        <v>3770.3</v>
      </c>
      <c r="U58" s="46">
        <v>464.230187</v>
      </c>
      <c r="V58" s="52">
        <v>3658.93</v>
      </c>
      <c r="W58" s="60">
        <v>579.6</v>
      </c>
    </row>
    <row r="59" spans="1:23">
      <c r="A59" s="38" t="s">
        <v>163</v>
      </c>
      <c r="B59" s="38" t="s">
        <v>46</v>
      </c>
      <c r="C59" s="38" t="s">
        <v>164</v>
      </c>
      <c r="D59" s="39">
        <v>52</v>
      </c>
      <c r="E59" s="41">
        <v>7</v>
      </c>
      <c r="F59" s="41">
        <v>3</v>
      </c>
      <c r="G59" s="41">
        <v>9</v>
      </c>
      <c r="H59" s="41">
        <v>5</v>
      </c>
      <c r="I59" s="41">
        <v>7</v>
      </c>
      <c r="J59" s="41">
        <v>10</v>
      </c>
      <c r="K59" s="40">
        <v>1.0044999999999999</v>
      </c>
      <c r="L59" s="48">
        <v>5.43</v>
      </c>
      <c r="M59" s="48">
        <v>5.57</v>
      </c>
      <c r="N59" s="48">
        <v>4.62</v>
      </c>
      <c r="O59" s="48">
        <v>6.12</v>
      </c>
      <c r="P59" s="52">
        <v>7141.03</v>
      </c>
      <c r="Q59" s="46">
        <v>581.38183700000002</v>
      </c>
      <c r="R59" s="52">
        <v>6336.72</v>
      </c>
      <c r="S59" s="46">
        <v>1858.069291</v>
      </c>
      <c r="T59" s="52">
        <v>6506.22</v>
      </c>
      <c r="U59" s="46">
        <v>990.51735900000006</v>
      </c>
      <c r="V59" s="52">
        <v>7352.03</v>
      </c>
      <c r="W59" s="60">
        <v>1375.2</v>
      </c>
    </row>
    <row r="60" spans="1:23">
      <c r="A60" s="7" t="s">
        <v>181</v>
      </c>
      <c r="B60" s="7" t="s">
        <v>46</v>
      </c>
      <c r="C60" s="7" t="s">
        <v>162</v>
      </c>
      <c r="D60" s="36">
        <v>35</v>
      </c>
      <c r="E60" s="37">
        <v>2</v>
      </c>
      <c r="F60" s="37">
        <v>3</v>
      </c>
      <c r="G60" s="37">
        <v>10</v>
      </c>
      <c r="H60" s="37">
        <v>6</v>
      </c>
      <c r="I60" s="37">
        <v>4</v>
      </c>
      <c r="J60" s="37">
        <v>10</v>
      </c>
      <c r="K60" s="19">
        <v>0.68910000000000005</v>
      </c>
      <c r="L60" s="48">
        <v>14.06</v>
      </c>
      <c r="M60" s="48">
        <v>6.58</v>
      </c>
      <c r="N60" s="48">
        <v>7.97</v>
      </c>
      <c r="O60" s="48">
        <v>4.7</v>
      </c>
      <c r="P60" s="52">
        <v>6753.27</v>
      </c>
      <c r="Q60" s="46">
        <v>322.48399999999998</v>
      </c>
      <c r="R60" s="52">
        <v>6819.36</v>
      </c>
      <c r="S60" s="46">
        <v>101.38</v>
      </c>
      <c r="T60" s="52">
        <v>7495.54</v>
      </c>
      <c r="U60" s="46">
        <v>64.227000000000004</v>
      </c>
      <c r="V60" s="52">
        <v>7600.64</v>
      </c>
      <c r="W60" s="60">
        <v>199.56</v>
      </c>
    </row>
    <row r="61" spans="1:23">
      <c r="A61" s="38" t="s">
        <v>161</v>
      </c>
      <c r="B61" s="38" t="s">
        <v>46</v>
      </c>
      <c r="C61" s="38" t="s">
        <v>162</v>
      </c>
      <c r="D61" s="39">
        <v>58</v>
      </c>
      <c r="E61" s="41">
        <v>2</v>
      </c>
      <c r="F61" s="41">
        <v>3</v>
      </c>
      <c r="G61" s="41">
        <v>7</v>
      </c>
      <c r="H61" s="41">
        <v>10</v>
      </c>
      <c r="I61" s="41">
        <v>7</v>
      </c>
      <c r="J61" s="41">
        <v>7</v>
      </c>
      <c r="K61" s="40">
        <v>0.2356</v>
      </c>
      <c r="L61" s="48">
        <v>14.19</v>
      </c>
      <c r="M61" s="48">
        <v>3.08</v>
      </c>
      <c r="N61" s="48">
        <v>4.78</v>
      </c>
      <c r="O61" s="48">
        <v>8.3800000000000008</v>
      </c>
      <c r="P61" s="52">
        <v>4014.92</v>
      </c>
      <c r="Q61" s="46">
        <v>-3.5472190000000001</v>
      </c>
      <c r="R61" s="52">
        <v>5819.08</v>
      </c>
      <c r="S61" s="46">
        <v>160.047639</v>
      </c>
      <c r="T61" s="52">
        <v>5687.1</v>
      </c>
      <c r="U61" s="46">
        <v>65.840414999999993</v>
      </c>
      <c r="V61" s="52">
        <v>5254.37</v>
      </c>
      <c r="W61" s="60">
        <v>225.24</v>
      </c>
    </row>
    <row r="62" spans="1:23">
      <c r="A62" s="7" t="s">
        <v>99</v>
      </c>
      <c r="B62" s="7" t="s">
        <v>41</v>
      </c>
      <c r="C62" s="7" t="s">
        <v>97</v>
      </c>
      <c r="D62" s="36">
        <v>50</v>
      </c>
      <c r="E62" s="37">
        <v>6</v>
      </c>
      <c r="F62" s="37">
        <v>9</v>
      </c>
      <c r="G62" s="37">
        <v>8</v>
      </c>
      <c r="H62" s="37">
        <v>10</v>
      </c>
      <c r="I62" s="37">
        <v>6</v>
      </c>
      <c r="J62" s="37">
        <v>9</v>
      </c>
      <c r="K62" s="19">
        <v>1.1975</v>
      </c>
      <c r="L62" s="48">
        <v>7.14</v>
      </c>
      <c r="M62" s="48">
        <v>7.76</v>
      </c>
      <c r="N62" s="48">
        <v>8.27</v>
      </c>
      <c r="O62" s="48">
        <v>8.59</v>
      </c>
      <c r="P62" s="48">
        <v>353.74</v>
      </c>
      <c r="Q62" s="46">
        <v>355.41001399999999</v>
      </c>
      <c r="R62" s="48">
        <v>373.1</v>
      </c>
      <c r="S62" s="46">
        <v>416.34081300000003</v>
      </c>
      <c r="T62" s="48">
        <v>407.83</v>
      </c>
      <c r="U62" s="46">
        <v>305.61716300000001</v>
      </c>
      <c r="V62" s="48">
        <v>418.36</v>
      </c>
      <c r="W62" s="60">
        <v>286.17</v>
      </c>
    </row>
    <row r="63" spans="1:23">
      <c r="A63" s="38" t="s">
        <v>101</v>
      </c>
      <c r="B63" s="38" t="s">
        <v>41</v>
      </c>
      <c r="C63" s="38" t="s">
        <v>97</v>
      </c>
      <c r="D63" s="39">
        <v>40</v>
      </c>
      <c r="E63" s="41">
        <v>4</v>
      </c>
      <c r="F63" s="41">
        <v>5</v>
      </c>
      <c r="G63" s="41">
        <v>7</v>
      </c>
      <c r="H63" s="41">
        <v>6</v>
      </c>
      <c r="I63" s="41">
        <v>6</v>
      </c>
      <c r="J63" s="41">
        <v>8</v>
      </c>
      <c r="K63" s="40">
        <v>0.92989999999999995</v>
      </c>
      <c r="L63" s="48">
        <v>6.86</v>
      </c>
      <c r="M63" s="48">
        <v>6.52</v>
      </c>
      <c r="N63" s="48">
        <v>7.26</v>
      </c>
      <c r="O63" s="48">
        <v>6.46</v>
      </c>
      <c r="P63" s="52">
        <v>3645</v>
      </c>
      <c r="Q63" s="46">
        <v>1499.3984359999999</v>
      </c>
      <c r="R63" s="52">
        <v>3779.13</v>
      </c>
      <c r="S63" s="46">
        <v>-168.776006</v>
      </c>
      <c r="T63" s="52">
        <v>3968.67</v>
      </c>
      <c r="U63" s="46">
        <v>2255.3603979999998</v>
      </c>
      <c r="V63" s="52">
        <v>4241.9799999999996</v>
      </c>
      <c r="W63" s="60">
        <v>1899.19</v>
      </c>
    </row>
    <row r="64" spans="1:23">
      <c r="A64" s="7" t="s">
        <v>104</v>
      </c>
      <c r="B64" s="7" t="s">
        <v>41</v>
      </c>
      <c r="C64" s="7" t="s">
        <v>97</v>
      </c>
      <c r="D64" s="36">
        <v>34</v>
      </c>
      <c r="E64" s="37">
        <v>4</v>
      </c>
      <c r="F64" s="37">
        <v>3</v>
      </c>
      <c r="G64" s="37">
        <v>7</v>
      </c>
      <c r="H64" s="37">
        <v>5</v>
      </c>
      <c r="I64" s="37">
        <v>6</v>
      </c>
      <c r="J64" s="37">
        <v>8</v>
      </c>
      <c r="K64" s="19">
        <v>-1.6446000000000001</v>
      </c>
      <c r="L64" s="48">
        <v>6.26</v>
      </c>
      <c r="M64" s="48">
        <v>8.56</v>
      </c>
      <c r="N64" s="48">
        <v>6.27</v>
      </c>
      <c r="O64" s="48">
        <v>7.24</v>
      </c>
      <c r="P64" s="48">
        <v>867.31</v>
      </c>
      <c r="Q64" s="46">
        <v>-221.87358499999999</v>
      </c>
      <c r="R64" s="48">
        <v>911.88</v>
      </c>
      <c r="S64" s="46">
        <v>593.95348999999999</v>
      </c>
      <c r="T64" s="52">
        <v>1041.68</v>
      </c>
      <c r="U64" s="46">
        <v>-1470.4450200000001</v>
      </c>
      <c r="V64" s="52">
        <v>1097.29</v>
      </c>
      <c r="W64" s="60">
        <v>-319.31</v>
      </c>
    </row>
    <row r="65" spans="1:23">
      <c r="A65" s="38" t="s">
        <v>96</v>
      </c>
      <c r="B65" s="38" t="s">
        <v>41</v>
      </c>
      <c r="C65" s="38" t="s">
        <v>97</v>
      </c>
      <c r="D65" s="39">
        <v>54</v>
      </c>
      <c r="E65" s="41">
        <v>10</v>
      </c>
      <c r="F65" s="41">
        <v>10</v>
      </c>
      <c r="G65" s="41">
        <v>6</v>
      </c>
      <c r="H65" s="41">
        <v>10</v>
      </c>
      <c r="I65" s="41">
        <v>7</v>
      </c>
      <c r="J65" s="41">
        <v>6</v>
      </c>
      <c r="K65" s="40">
        <v>1.2739</v>
      </c>
      <c r="L65" s="48">
        <v>0</v>
      </c>
      <c r="M65" s="48">
        <v>3.02</v>
      </c>
      <c r="N65" s="48">
        <v>5.34</v>
      </c>
      <c r="O65" s="48">
        <v>10.25</v>
      </c>
      <c r="P65" s="48">
        <v>676.11</v>
      </c>
      <c r="Q65" s="46">
        <v>237.003985</v>
      </c>
      <c r="R65" s="52">
        <v>1325.46</v>
      </c>
      <c r="S65" s="46">
        <v>-8396.2349040000008</v>
      </c>
      <c r="T65" s="52">
        <v>2352.9</v>
      </c>
      <c r="U65" s="46">
        <v>2024.623842</v>
      </c>
      <c r="V65" s="52">
        <v>2063.04</v>
      </c>
      <c r="W65" s="60">
        <v>1924.37</v>
      </c>
    </row>
    <row r="66" spans="1:23">
      <c r="A66" s="7" t="s">
        <v>103</v>
      </c>
      <c r="B66" s="7" t="s">
        <v>41</v>
      </c>
      <c r="C66" s="7" t="s">
        <v>97</v>
      </c>
      <c r="D66" s="36">
        <v>36</v>
      </c>
      <c r="E66" s="37">
        <v>5</v>
      </c>
      <c r="F66" s="37">
        <v>9</v>
      </c>
      <c r="G66" s="37">
        <v>7</v>
      </c>
      <c r="H66" s="37">
        <v>5</v>
      </c>
      <c r="I66" s="37">
        <v>6</v>
      </c>
      <c r="J66" s="37">
        <v>8</v>
      </c>
      <c r="K66" s="19">
        <v>1.2333000000000001</v>
      </c>
      <c r="L66" s="48">
        <v>6.11</v>
      </c>
      <c r="M66" s="48">
        <v>6.64</v>
      </c>
      <c r="N66" s="48">
        <v>7.23</v>
      </c>
      <c r="O66" s="48">
        <v>6.67</v>
      </c>
      <c r="P66" s="52">
        <v>3178.99</v>
      </c>
      <c r="Q66" s="46">
        <v>-1350.971955</v>
      </c>
      <c r="R66" s="52">
        <v>3397.68</v>
      </c>
      <c r="S66" s="46">
        <v>2690.6001900000001</v>
      </c>
      <c r="T66" s="52">
        <v>3519.23</v>
      </c>
      <c r="U66" s="46">
        <v>2949.845272</v>
      </c>
      <c r="V66" s="52">
        <v>3507.81</v>
      </c>
      <c r="W66" s="60">
        <v>2111.0500000000002</v>
      </c>
    </row>
    <row r="67" spans="1:23">
      <c r="A67" s="38" t="s">
        <v>102</v>
      </c>
      <c r="B67" s="38" t="s">
        <v>41</v>
      </c>
      <c r="C67" s="38" t="s">
        <v>97</v>
      </c>
      <c r="D67" s="39">
        <v>38</v>
      </c>
      <c r="E67" s="41">
        <v>7</v>
      </c>
      <c r="F67" s="41">
        <v>5</v>
      </c>
      <c r="G67" s="41">
        <v>10</v>
      </c>
      <c r="H67" s="41">
        <v>3</v>
      </c>
      <c r="I67" s="41">
        <v>4</v>
      </c>
      <c r="J67" s="41">
        <v>10</v>
      </c>
      <c r="K67" s="40">
        <v>0.2</v>
      </c>
      <c r="L67" s="48">
        <v>2.15</v>
      </c>
      <c r="M67" s="48">
        <v>1.68</v>
      </c>
      <c r="N67" s="48">
        <v>4</v>
      </c>
      <c r="O67" s="48">
        <v>4.17</v>
      </c>
      <c r="P67" s="48">
        <v>60.13</v>
      </c>
      <c r="Q67" s="46">
        <v>108.63738499999999</v>
      </c>
      <c r="R67" s="48">
        <v>58.63</v>
      </c>
      <c r="S67" s="46">
        <v>31.338082</v>
      </c>
      <c r="T67" s="48">
        <v>69.180000000000007</v>
      </c>
      <c r="U67" s="46">
        <v>0</v>
      </c>
      <c r="V67" s="48">
        <v>57.29</v>
      </c>
      <c r="W67" s="60">
        <v>11.18</v>
      </c>
    </row>
    <row r="68" spans="1:23">
      <c r="A68" s="7" t="s">
        <v>98</v>
      </c>
      <c r="B68" s="7" t="s">
        <v>41</v>
      </c>
      <c r="C68" s="7" t="s">
        <v>97</v>
      </c>
      <c r="D68" s="36">
        <v>52</v>
      </c>
      <c r="E68" s="37">
        <v>5</v>
      </c>
      <c r="F68" s="37">
        <v>10</v>
      </c>
      <c r="G68" s="37">
        <v>7</v>
      </c>
      <c r="H68" s="37">
        <v>10</v>
      </c>
      <c r="I68" s="37">
        <v>4</v>
      </c>
      <c r="J68" s="37">
        <v>10</v>
      </c>
      <c r="K68" s="19">
        <v>0.2</v>
      </c>
      <c r="L68" s="48">
        <v>3.1</v>
      </c>
      <c r="M68" s="48">
        <v>7.57</v>
      </c>
      <c r="N68" s="48">
        <v>9.3800000000000008</v>
      </c>
      <c r="O68" s="48">
        <v>9.34</v>
      </c>
      <c r="P68" s="48">
        <v>78.989999999999995</v>
      </c>
      <c r="Q68" s="46">
        <v>28.727611</v>
      </c>
      <c r="R68" s="48">
        <v>107.08</v>
      </c>
      <c r="S68" s="46">
        <v>80.518998999999994</v>
      </c>
      <c r="T68" s="48">
        <v>179.4</v>
      </c>
      <c r="U68" s="46">
        <v>0</v>
      </c>
      <c r="V68" s="48">
        <v>218.78</v>
      </c>
      <c r="W68" s="60">
        <v>147.63999999999999</v>
      </c>
    </row>
    <row r="69" spans="1:23">
      <c r="A69" s="38" t="s">
        <v>100</v>
      </c>
      <c r="B69" s="38" t="s">
        <v>41</v>
      </c>
      <c r="C69" s="38" t="s">
        <v>97</v>
      </c>
      <c r="D69" s="39">
        <v>41</v>
      </c>
      <c r="E69" s="41">
        <v>6</v>
      </c>
      <c r="F69" s="41">
        <v>10</v>
      </c>
      <c r="G69" s="41">
        <v>10</v>
      </c>
      <c r="H69" s="41">
        <v>10</v>
      </c>
      <c r="I69" s="41">
        <v>4</v>
      </c>
      <c r="J69" s="41">
        <v>9</v>
      </c>
      <c r="K69" s="40">
        <v>1.3697999999999999</v>
      </c>
      <c r="L69" s="48">
        <v>0</v>
      </c>
      <c r="M69" s="48">
        <v>2.46</v>
      </c>
      <c r="N69" s="48">
        <v>5.5</v>
      </c>
      <c r="O69" s="48">
        <v>7.18</v>
      </c>
      <c r="P69" s="48">
        <v>378.33</v>
      </c>
      <c r="Q69" s="46">
        <v>-14269.462020000001</v>
      </c>
      <c r="R69" s="52">
        <v>1192.33</v>
      </c>
      <c r="S69" s="46">
        <v>1035.8600630000001</v>
      </c>
      <c r="T69" s="52">
        <v>1194.1500000000001</v>
      </c>
      <c r="U69" s="46">
        <v>1092.1205319999999</v>
      </c>
      <c r="V69" s="52">
        <v>1192.47</v>
      </c>
      <c r="W69" s="60">
        <v>1117.73</v>
      </c>
    </row>
    <row r="70" spans="1:23">
      <c r="A70" s="7" t="s">
        <v>105</v>
      </c>
      <c r="B70" s="7" t="s">
        <v>41</v>
      </c>
      <c r="C70" s="7" t="s">
        <v>97</v>
      </c>
      <c r="D70" s="36">
        <v>34</v>
      </c>
      <c r="E70" s="37">
        <v>5</v>
      </c>
      <c r="F70" s="37">
        <v>10</v>
      </c>
      <c r="G70" s="37">
        <v>7</v>
      </c>
      <c r="H70" s="37">
        <v>5</v>
      </c>
      <c r="I70" s="37">
        <v>6</v>
      </c>
      <c r="J70" s="37">
        <v>7</v>
      </c>
      <c r="K70" s="19">
        <v>0.27689999999999998</v>
      </c>
      <c r="L70" s="48">
        <v>5.13</v>
      </c>
      <c r="M70" s="48">
        <v>10.08</v>
      </c>
      <c r="N70" s="48">
        <v>12.57</v>
      </c>
      <c r="O70" s="48">
        <v>12.04</v>
      </c>
      <c r="P70" s="52">
        <v>1592.25</v>
      </c>
      <c r="Q70" s="46">
        <v>572.92115899999999</v>
      </c>
      <c r="R70" s="52">
        <v>1702.53</v>
      </c>
      <c r="S70" s="46">
        <v>783.28221299999996</v>
      </c>
      <c r="T70" s="52">
        <v>1616.83</v>
      </c>
      <c r="U70" s="46">
        <v>87.014268999999999</v>
      </c>
      <c r="V70" s="52">
        <v>1596.99</v>
      </c>
      <c r="W70" s="60">
        <v>728.83</v>
      </c>
    </row>
    <row r="71" spans="1:23">
      <c r="A71" s="38" t="s">
        <v>203</v>
      </c>
      <c r="B71" s="38" t="s">
        <v>47</v>
      </c>
      <c r="C71" s="38" t="s">
        <v>201</v>
      </c>
      <c r="D71" s="39">
        <v>39</v>
      </c>
      <c r="E71" s="41">
        <v>2</v>
      </c>
      <c r="F71" s="41">
        <v>3</v>
      </c>
      <c r="G71" s="41">
        <v>8</v>
      </c>
      <c r="H71" s="41">
        <v>10</v>
      </c>
      <c r="I71" s="41">
        <v>6</v>
      </c>
      <c r="J71" s="41">
        <v>9</v>
      </c>
      <c r="K71" s="40">
        <v>1.0194000000000001</v>
      </c>
      <c r="L71" s="48">
        <v>2.12</v>
      </c>
      <c r="M71" s="48">
        <v>6.15</v>
      </c>
      <c r="N71" s="48">
        <v>3.52</v>
      </c>
      <c r="O71" s="48">
        <v>9.52</v>
      </c>
      <c r="P71" s="48">
        <v>779.38</v>
      </c>
      <c r="Q71" s="46">
        <v>143.66758200000001</v>
      </c>
      <c r="R71" s="48">
        <v>834.71</v>
      </c>
      <c r="S71" s="46">
        <v>-123.051182</v>
      </c>
      <c r="T71" s="52">
        <v>1117.77</v>
      </c>
      <c r="U71" s="46">
        <v>317.70080899999999</v>
      </c>
      <c r="V71" s="48">
        <v>848.39</v>
      </c>
      <c r="W71" s="60">
        <v>185.03</v>
      </c>
    </row>
    <row r="72" spans="1:23">
      <c r="A72" s="7" t="s">
        <v>200</v>
      </c>
      <c r="B72" s="7" t="s">
        <v>47</v>
      </c>
      <c r="C72" s="7" t="s">
        <v>201</v>
      </c>
      <c r="D72" s="36">
        <v>46</v>
      </c>
      <c r="E72" s="37">
        <v>2</v>
      </c>
      <c r="F72" s="37">
        <v>5</v>
      </c>
      <c r="G72" s="37">
        <v>9</v>
      </c>
      <c r="H72" s="37">
        <v>3</v>
      </c>
      <c r="I72" s="37">
        <v>6</v>
      </c>
      <c r="J72" s="37">
        <v>10</v>
      </c>
      <c r="K72" s="19">
        <v>22.153500000000001</v>
      </c>
      <c r="L72" s="48">
        <v>1.35</v>
      </c>
      <c r="M72" s="48">
        <v>5.95</v>
      </c>
      <c r="N72" s="48">
        <v>7.41</v>
      </c>
      <c r="O72" s="48">
        <v>1.53</v>
      </c>
      <c r="P72" s="52">
        <v>1157.73</v>
      </c>
      <c r="Q72" s="46">
        <v>-11.385351999999999</v>
      </c>
      <c r="R72" s="52">
        <v>1486.89</v>
      </c>
      <c r="S72" s="46">
        <v>261.25587300000001</v>
      </c>
      <c r="T72" s="48">
        <v>821.13</v>
      </c>
      <c r="U72" s="46">
        <v>107.37264399999999</v>
      </c>
      <c r="V72" s="52">
        <v>1501.71</v>
      </c>
      <c r="W72" s="60">
        <v>354.6</v>
      </c>
    </row>
    <row r="73" spans="1:23">
      <c r="A73" s="38" t="s">
        <v>205</v>
      </c>
      <c r="B73" s="38" t="s">
        <v>47</v>
      </c>
      <c r="C73" s="38" t="s">
        <v>201</v>
      </c>
      <c r="D73" s="39">
        <v>33</v>
      </c>
      <c r="E73" s="41">
        <v>6</v>
      </c>
      <c r="F73" s="41">
        <v>5</v>
      </c>
      <c r="G73" s="41">
        <v>3</v>
      </c>
      <c r="H73" s="41">
        <v>3</v>
      </c>
      <c r="I73" s="41">
        <v>7</v>
      </c>
      <c r="J73" s="41">
        <v>3</v>
      </c>
      <c r="K73" s="40">
        <v>0.59219999999999995</v>
      </c>
      <c r="L73" s="48">
        <v>4.68</v>
      </c>
      <c r="M73" s="48">
        <v>7.81</v>
      </c>
      <c r="N73" s="48">
        <v>9.2200000000000006</v>
      </c>
      <c r="O73" s="48">
        <v>5.68</v>
      </c>
      <c r="P73" s="52">
        <v>5800.02</v>
      </c>
      <c r="Q73" s="46">
        <v>-341.05063430000001</v>
      </c>
      <c r="R73" s="52">
        <v>4906.7299999999996</v>
      </c>
      <c r="S73" s="46">
        <v>15.588429</v>
      </c>
      <c r="T73" s="52">
        <v>5275.51</v>
      </c>
      <c r="U73" s="46">
        <v>363.17758900000001</v>
      </c>
      <c r="V73" s="52">
        <v>5402.76</v>
      </c>
      <c r="W73" s="60">
        <v>398.66</v>
      </c>
    </row>
    <row r="74" spans="1:23">
      <c r="A74" s="7" t="s">
        <v>202</v>
      </c>
      <c r="B74" s="7" t="s">
        <v>47</v>
      </c>
      <c r="C74" s="7" t="s">
        <v>201</v>
      </c>
      <c r="D74" s="36">
        <v>44</v>
      </c>
      <c r="E74" s="37">
        <v>10</v>
      </c>
      <c r="F74" s="37">
        <v>10</v>
      </c>
      <c r="G74" s="37">
        <v>7</v>
      </c>
      <c r="H74" s="37">
        <v>10</v>
      </c>
      <c r="I74" s="37">
        <v>4</v>
      </c>
      <c r="J74" s="37">
        <v>8</v>
      </c>
      <c r="K74" s="19">
        <v>8.6951999999999998</v>
      </c>
      <c r="L74" s="48">
        <v>0</v>
      </c>
      <c r="M74" s="48">
        <v>0</v>
      </c>
      <c r="N74" s="48">
        <v>4.13</v>
      </c>
      <c r="O74" s="48">
        <v>1.44</v>
      </c>
      <c r="P74" s="48">
        <v>808.8</v>
      </c>
      <c r="Q74" s="46">
        <v>138.25553500000001</v>
      </c>
      <c r="R74" s="52">
        <v>1799.55</v>
      </c>
      <c r="S74" s="46">
        <v>370.58976000000001</v>
      </c>
      <c r="T74" s="52">
        <v>1284.82</v>
      </c>
      <c r="U74" s="46">
        <v>113.18123199999999</v>
      </c>
      <c r="V74" s="52">
        <v>1565.15</v>
      </c>
      <c r="W74" s="60">
        <v>416.4</v>
      </c>
    </row>
    <row r="75" spans="1:23">
      <c r="A75" s="38" t="s">
        <v>204</v>
      </c>
      <c r="B75" s="38" t="s">
        <v>47</v>
      </c>
      <c r="C75" s="38" t="s">
        <v>201</v>
      </c>
      <c r="D75" s="39">
        <v>38</v>
      </c>
      <c r="E75" s="41">
        <v>6</v>
      </c>
      <c r="F75" s="41">
        <v>3</v>
      </c>
      <c r="G75" s="41">
        <v>5</v>
      </c>
      <c r="H75" s="41">
        <v>3</v>
      </c>
      <c r="I75" s="41">
        <v>6</v>
      </c>
      <c r="J75" s="41">
        <v>5</v>
      </c>
      <c r="K75" s="40">
        <v>0.15310000000000001</v>
      </c>
      <c r="L75" s="48">
        <v>1.94</v>
      </c>
      <c r="M75" s="48">
        <v>1.68</v>
      </c>
      <c r="N75" s="48">
        <v>1.83</v>
      </c>
      <c r="O75" s="48">
        <v>2.34</v>
      </c>
      <c r="P75" s="52">
        <v>1891.18</v>
      </c>
      <c r="Q75" s="46">
        <v>-709.05829900000003</v>
      </c>
      <c r="R75" s="52">
        <v>1961.71</v>
      </c>
      <c r="S75" s="46">
        <v>568.167599</v>
      </c>
      <c r="T75" s="52">
        <v>1602.45</v>
      </c>
      <c r="U75" s="46">
        <v>-20.032713999999999</v>
      </c>
      <c r="V75" s="52">
        <v>1943.41</v>
      </c>
      <c r="W75" s="60">
        <v>162.36000000000001</v>
      </c>
    </row>
    <row r="76" spans="1:23">
      <c r="A76" s="7" t="s">
        <v>230</v>
      </c>
      <c r="B76" s="7" t="s">
        <v>45</v>
      </c>
      <c r="C76" s="7" t="s">
        <v>226</v>
      </c>
      <c r="D76" s="36">
        <v>43</v>
      </c>
      <c r="E76" s="37">
        <v>8</v>
      </c>
      <c r="F76" s="37">
        <v>3</v>
      </c>
      <c r="G76" s="37">
        <v>9</v>
      </c>
      <c r="H76" s="37">
        <v>3</v>
      </c>
      <c r="I76" s="37">
        <v>4</v>
      </c>
      <c r="J76" s="37">
        <v>9</v>
      </c>
      <c r="K76" s="19">
        <v>7.0499999999999993E-2</v>
      </c>
      <c r="L76" s="48">
        <v>3.88</v>
      </c>
      <c r="M76" s="48">
        <v>1.71</v>
      </c>
      <c r="N76" s="48">
        <v>4.05</v>
      </c>
      <c r="O76" s="48">
        <v>4.5999999999999996</v>
      </c>
      <c r="P76" s="52">
        <v>27655.51</v>
      </c>
      <c r="Q76" s="46">
        <v>1341.715391</v>
      </c>
      <c r="R76" s="52">
        <v>26590.87</v>
      </c>
      <c r="S76" s="46">
        <v>3250.2910710000001</v>
      </c>
      <c r="T76" s="52">
        <v>25443.11</v>
      </c>
      <c r="U76" s="46">
        <v>4877.4874790000003</v>
      </c>
      <c r="V76" s="52">
        <v>21231.1</v>
      </c>
      <c r="W76" s="60">
        <v>1831.33</v>
      </c>
    </row>
    <row r="77" spans="1:23">
      <c r="A77" s="38" t="s">
        <v>239</v>
      </c>
      <c r="B77" s="38" t="s">
        <v>45</v>
      </c>
      <c r="C77" s="38" t="s">
        <v>226</v>
      </c>
      <c r="D77" s="39">
        <v>31</v>
      </c>
      <c r="E77" s="41">
        <v>4</v>
      </c>
      <c r="F77" s="41">
        <v>3</v>
      </c>
      <c r="G77" s="41">
        <v>7</v>
      </c>
      <c r="H77" s="41">
        <v>3</v>
      </c>
      <c r="I77" s="41">
        <v>8</v>
      </c>
      <c r="J77" s="41">
        <v>8</v>
      </c>
      <c r="K77" s="40">
        <v>0.97840000000000005</v>
      </c>
      <c r="L77" s="48">
        <v>3.44</v>
      </c>
      <c r="M77" s="48">
        <v>2.91</v>
      </c>
      <c r="N77" s="48">
        <v>5.31</v>
      </c>
      <c r="O77" s="48">
        <v>6.59</v>
      </c>
      <c r="P77" s="52">
        <v>18786.59</v>
      </c>
      <c r="Q77" s="46">
        <v>2035.907674</v>
      </c>
      <c r="R77" s="52">
        <v>16683.36</v>
      </c>
      <c r="S77" s="46">
        <v>4213.822013</v>
      </c>
      <c r="T77" s="52">
        <v>15210.44</v>
      </c>
      <c r="U77" s="46">
        <v>3310.1988729999998</v>
      </c>
      <c r="V77" s="52">
        <v>13338.58</v>
      </c>
      <c r="W77" s="60">
        <v>914.26</v>
      </c>
    </row>
    <row r="78" spans="1:23">
      <c r="A78" s="7" t="s">
        <v>225</v>
      </c>
      <c r="B78" s="7" t="s">
        <v>45</v>
      </c>
      <c r="C78" s="7" t="s">
        <v>226</v>
      </c>
      <c r="D78" s="36">
        <v>48</v>
      </c>
      <c r="E78" s="37">
        <v>2</v>
      </c>
      <c r="F78" s="37">
        <v>3</v>
      </c>
      <c r="G78" s="37">
        <v>7</v>
      </c>
      <c r="H78" s="37">
        <v>9</v>
      </c>
      <c r="I78" s="37">
        <v>6</v>
      </c>
      <c r="J78" s="37">
        <v>8</v>
      </c>
      <c r="K78" s="19">
        <v>0.2742</v>
      </c>
      <c r="L78" s="48">
        <v>6.36</v>
      </c>
      <c r="M78" s="48">
        <v>4.1500000000000004</v>
      </c>
      <c r="N78" s="48">
        <v>4.6100000000000003</v>
      </c>
      <c r="O78" s="48">
        <v>10.87</v>
      </c>
      <c r="P78" s="52">
        <v>18705.05</v>
      </c>
      <c r="Q78" s="46">
        <v>1052.938269</v>
      </c>
      <c r="R78" s="52">
        <v>18020.29</v>
      </c>
      <c r="S78" s="46">
        <v>550.85060699999997</v>
      </c>
      <c r="T78" s="52">
        <v>15958.28</v>
      </c>
      <c r="U78" s="46">
        <v>126.550157</v>
      </c>
      <c r="V78" s="52">
        <v>17804.080000000002</v>
      </c>
      <c r="W78" s="60">
        <v>1571.24</v>
      </c>
    </row>
    <row r="79" spans="1:23">
      <c r="A79" s="38" t="s">
        <v>232</v>
      </c>
      <c r="B79" s="38" t="s">
        <v>45</v>
      </c>
      <c r="C79" s="38" t="s">
        <v>233</v>
      </c>
      <c r="D79" s="39">
        <v>41</v>
      </c>
      <c r="E79" s="41">
        <v>8</v>
      </c>
      <c r="F79" s="41">
        <v>5</v>
      </c>
      <c r="G79" s="41">
        <v>7</v>
      </c>
      <c r="H79" s="41">
        <v>6</v>
      </c>
      <c r="I79" s="41">
        <v>10</v>
      </c>
      <c r="J79" s="41">
        <v>7</v>
      </c>
      <c r="K79" s="40">
        <v>0.70579999999999998</v>
      </c>
      <c r="L79" s="48">
        <v>2.0499999999999998</v>
      </c>
      <c r="M79" s="48">
        <v>4.72</v>
      </c>
      <c r="N79" s="48">
        <v>8.65</v>
      </c>
      <c r="O79" s="48">
        <v>10</v>
      </c>
      <c r="P79" s="52">
        <v>3071.84</v>
      </c>
      <c r="Q79" s="46">
        <v>-61.57929</v>
      </c>
      <c r="R79" s="52">
        <v>3237.66</v>
      </c>
      <c r="S79" s="46">
        <v>671.39187700000002</v>
      </c>
      <c r="T79" s="52">
        <v>2975.55</v>
      </c>
      <c r="U79" s="46">
        <v>348.91917100000001</v>
      </c>
      <c r="V79" s="52">
        <v>2853.04</v>
      </c>
      <c r="W79" s="60">
        <v>262.57</v>
      </c>
    </row>
    <row r="80" spans="1:23">
      <c r="A80" s="7" t="s">
        <v>234</v>
      </c>
      <c r="B80" s="7" t="s">
        <v>45</v>
      </c>
      <c r="C80" s="7" t="s">
        <v>233</v>
      </c>
      <c r="D80" s="36">
        <v>40</v>
      </c>
      <c r="E80" s="37">
        <v>10</v>
      </c>
      <c r="F80" s="37">
        <v>10</v>
      </c>
      <c r="G80" s="37">
        <v>8</v>
      </c>
      <c r="H80" s="37">
        <v>3</v>
      </c>
      <c r="I80" s="37">
        <v>6</v>
      </c>
      <c r="J80" s="37">
        <v>9</v>
      </c>
      <c r="K80" s="19">
        <v>0.30509999999999998</v>
      </c>
      <c r="L80" s="48">
        <v>0.99</v>
      </c>
      <c r="M80" s="48">
        <v>1.63</v>
      </c>
      <c r="N80" s="48">
        <v>4.46</v>
      </c>
      <c r="O80" s="48">
        <v>3.77</v>
      </c>
      <c r="P80" s="52">
        <v>2917.33</v>
      </c>
      <c r="Q80" s="46">
        <v>526.88336400000003</v>
      </c>
      <c r="R80" s="52">
        <v>2647.22</v>
      </c>
      <c r="S80" s="46">
        <v>511.637111</v>
      </c>
      <c r="T80" s="52">
        <v>2140.42</v>
      </c>
      <c r="U80" s="46">
        <v>153.22521499999999</v>
      </c>
      <c r="V80" s="52">
        <v>2172.0700000000002</v>
      </c>
      <c r="W80" s="60">
        <v>38.840000000000003</v>
      </c>
    </row>
    <row r="81" spans="1:24">
      <c r="A81" s="38" t="s">
        <v>231</v>
      </c>
      <c r="B81" s="38" t="s">
        <v>45</v>
      </c>
      <c r="C81" s="38" t="s">
        <v>224</v>
      </c>
      <c r="D81" s="39">
        <v>42</v>
      </c>
      <c r="E81" s="41">
        <v>7</v>
      </c>
      <c r="F81" s="41">
        <v>3</v>
      </c>
      <c r="G81" s="41">
        <v>3</v>
      </c>
      <c r="H81" s="41">
        <v>10</v>
      </c>
      <c r="I81" s="41">
        <v>10</v>
      </c>
      <c r="J81" s="41">
        <v>3</v>
      </c>
      <c r="K81" s="40">
        <v>0.50070000000000003</v>
      </c>
      <c r="L81" s="48">
        <v>9.7799999999999994</v>
      </c>
      <c r="M81" s="48">
        <v>6.67</v>
      </c>
      <c r="N81" s="48">
        <v>7.18</v>
      </c>
      <c r="O81" s="48">
        <v>8.82</v>
      </c>
      <c r="P81" s="52">
        <v>2589.91</v>
      </c>
      <c r="Q81" s="46">
        <v>-154.23445899999999</v>
      </c>
      <c r="R81" s="52">
        <v>3557.98</v>
      </c>
      <c r="S81" s="46">
        <v>461.53108700000001</v>
      </c>
      <c r="T81" s="52">
        <v>4098.55</v>
      </c>
      <c r="U81" s="46">
        <v>367.59989999999999</v>
      </c>
      <c r="V81" s="52">
        <v>3561.45</v>
      </c>
      <c r="W81" s="60">
        <v>14.13</v>
      </c>
    </row>
    <row r="82" spans="1:24" ht="25">
      <c r="A82" s="7" t="s">
        <v>237</v>
      </c>
      <c r="B82" s="7" t="s">
        <v>45</v>
      </c>
      <c r="C82" s="7" t="s">
        <v>224</v>
      </c>
      <c r="D82" s="36">
        <v>38</v>
      </c>
      <c r="E82" s="37">
        <v>4</v>
      </c>
      <c r="F82" s="37">
        <v>3</v>
      </c>
      <c r="G82" s="37">
        <v>8</v>
      </c>
      <c r="H82" s="37">
        <v>5</v>
      </c>
      <c r="I82" s="37">
        <v>6</v>
      </c>
      <c r="J82" s="37">
        <v>9</v>
      </c>
      <c r="K82" s="19">
        <v>1.3107</v>
      </c>
      <c r="L82" s="48">
        <v>7.91</v>
      </c>
      <c r="M82" s="48">
        <v>13.34</v>
      </c>
      <c r="N82" s="48">
        <v>10.87</v>
      </c>
      <c r="O82" s="48">
        <v>9.41</v>
      </c>
      <c r="P82" s="52">
        <v>14425.03</v>
      </c>
      <c r="Q82" s="46">
        <v>12890.501840000001</v>
      </c>
      <c r="R82" s="52">
        <v>14300.57</v>
      </c>
      <c r="S82" s="46">
        <v>12564.268</v>
      </c>
      <c r="T82" s="52">
        <v>14172.52</v>
      </c>
      <c r="U82" s="46">
        <v>12226.60715</v>
      </c>
      <c r="V82" s="52">
        <v>14435.87</v>
      </c>
      <c r="W82" s="60">
        <v>13361.08</v>
      </c>
    </row>
    <row r="83" spans="1:24">
      <c r="A83" s="38" t="s">
        <v>228</v>
      </c>
      <c r="B83" s="38" t="s">
        <v>45</v>
      </c>
      <c r="C83" s="38" t="s">
        <v>224</v>
      </c>
      <c r="D83" s="39">
        <v>47</v>
      </c>
      <c r="E83" s="41">
        <v>10</v>
      </c>
      <c r="F83" s="41">
        <v>10</v>
      </c>
      <c r="G83" s="41">
        <v>7</v>
      </c>
      <c r="H83" s="41">
        <v>5</v>
      </c>
      <c r="I83" s="41">
        <v>6</v>
      </c>
      <c r="J83" s="41">
        <v>8</v>
      </c>
      <c r="K83" s="40">
        <v>1.1568000000000001</v>
      </c>
      <c r="L83" s="48">
        <v>1.22</v>
      </c>
      <c r="M83" s="48">
        <v>1.2</v>
      </c>
      <c r="N83" s="48">
        <v>1.77</v>
      </c>
      <c r="O83" s="48">
        <v>4.41</v>
      </c>
      <c r="P83" s="52">
        <v>1699.01</v>
      </c>
      <c r="Q83" s="46">
        <v>666.47309800000005</v>
      </c>
      <c r="R83" s="52">
        <v>2016.4</v>
      </c>
      <c r="S83" s="46">
        <v>747.35766799999999</v>
      </c>
      <c r="T83" s="52">
        <v>2057.37</v>
      </c>
      <c r="U83" s="46">
        <v>723.98355400000003</v>
      </c>
      <c r="V83" s="52">
        <v>2109.2399999999998</v>
      </c>
      <c r="W83" s="60">
        <v>748.91</v>
      </c>
    </row>
    <row r="84" spans="1:24">
      <c r="A84" s="7" t="s">
        <v>227</v>
      </c>
      <c r="B84" s="7" t="s">
        <v>45</v>
      </c>
      <c r="C84" s="7" t="s">
        <v>224</v>
      </c>
      <c r="D84" s="36">
        <v>48</v>
      </c>
      <c r="E84" s="37">
        <v>6</v>
      </c>
      <c r="F84" s="37">
        <v>5</v>
      </c>
      <c r="G84" s="37">
        <v>3</v>
      </c>
      <c r="H84" s="37">
        <v>9</v>
      </c>
      <c r="I84" s="37">
        <v>10</v>
      </c>
      <c r="J84" s="37">
        <v>3</v>
      </c>
      <c r="K84" s="19">
        <v>1.2516</v>
      </c>
      <c r="L84" s="48">
        <v>3.94</v>
      </c>
      <c r="M84" s="48">
        <v>3.54</v>
      </c>
      <c r="N84" s="48">
        <v>3</v>
      </c>
      <c r="O84" s="48">
        <v>3.39</v>
      </c>
      <c r="P84" s="52">
        <v>186142.92</v>
      </c>
      <c r="Q84" s="46">
        <v>81404.917360000007</v>
      </c>
      <c r="R84" s="52">
        <v>189720.27</v>
      </c>
      <c r="S84" s="46">
        <v>87640.584520000004</v>
      </c>
      <c r="T84" s="52">
        <v>214147.68</v>
      </c>
      <c r="U84" s="46">
        <v>116622.152</v>
      </c>
      <c r="V84" s="52">
        <v>226998.24</v>
      </c>
      <c r="W84" s="60">
        <v>1322.17</v>
      </c>
    </row>
    <row r="85" spans="1:24">
      <c r="A85" s="38" t="s">
        <v>229</v>
      </c>
      <c r="B85" s="38" t="s">
        <v>45</v>
      </c>
      <c r="C85" s="38" t="s">
        <v>224</v>
      </c>
      <c r="D85" s="39">
        <v>46</v>
      </c>
      <c r="E85" s="41">
        <v>10</v>
      </c>
      <c r="F85" s="41">
        <v>3</v>
      </c>
      <c r="G85" s="41">
        <v>8</v>
      </c>
      <c r="H85" s="41">
        <v>10</v>
      </c>
      <c r="I85" s="41">
        <v>9</v>
      </c>
      <c r="J85" s="41">
        <v>9</v>
      </c>
      <c r="K85" s="40">
        <v>0.81020000000000003</v>
      </c>
      <c r="L85" s="48">
        <v>0.28000000000000003</v>
      </c>
      <c r="M85" s="48">
        <v>0.42</v>
      </c>
      <c r="N85" s="48">
        <v>0.53</v>
      </c>
      <c r="O85" s="48">
        <v>1.44</v>
      </c>
      <c r="P85" s="48">
        <v>567.53</v>
      </c>
      <c r="Q85" s="46">
        <v>48.646405000000001</v>
      </c>
      <c r="R85" s="52">
        <v>1321.27</v>
      </c>
      <c r="S85" s="46">
        <v>48.269860999999999</v>
      </c>
      <c r="T85" s="52">
        <v>1516.45</v>
      </c>
      <c r="U85" s="46">
        <v>305.18544400000002</v>
      </c>
      <c r="V85" s="52">
        <v>1555.58</v>
      </c>
      <c r="W85" s="60">
        <v>154.19</v>
      </c>
    </row>
    <row r="86" spans="1:24" s="67" customFormat="1">
      <c r="A86" s="7" t="s">
        <v>235</v>
      </c>
      <c r="B86" s="7" t="s">
        <v>45</v>
      </c>
      <c r="C86" s="7" t="s">
        <v>224</v>
      </c>
      <c r="D86" s="64">
        <v>40</v>
      </c>
      <c r="E86" s="65">
        <v>4</v>
      </c>
      <c r="F86" s="65">
        <v>3</v>
      </c>
      <c r="G86" s="65">
        <v>9</v>
      </c>
      <c r="H86" s="65">
        <v>3</v>
      </c>
      <c r="I86" s="65">
        <v>7</v>
      </c>
      <c r="J86" s="65">
        <v>10</v>
      </c>
      <c r="K86" s="66">
        <v>0.2</v>
      </c>
      <c r="L86" s="68">
        <v>11.8</v>
      </c>
      <c r="M86" s="68">
        <v>14.72</v>
      </c>
      <c r="N86" s="68">
        <v>8.85</v>
      </c>
      <c r="O86" s="68">
        <v>0</v>
      </c>
      <c r="P86" s="69">
        <v>10293.530000000001</v>
      </c>
      <c r="Q86" s="46">
        <v>0</v>
      </c>
      <c r="R86" s="69">
        <v>9514.85</v>
      </c>
      <c r="S86" s="46">
        <v>0</v>
      </c>
      <c r="T86" s="69">
        <v>7526.73</v>
      </c>
      <c r="U86" s="46">
        <v>0</v>
      </c>
      <c r="V86" s="69">
        <v>7516.9</v>
      </c>
      <c r="W86" s="70">
        <v>6008.21</v>
      </c>
      <c r="X86"/>
    </row>
    <row r="87" spans="1:24">
      <c r="A87" s="38" t="s">
        <v>236</v>
      </c>
      <c r="B87" s="38" t="s">
        <v>45</v>
      </c>
      <c r="C87" s="38" t="s">
        <v>224</v>
      </c>
      <c r="D87" s="39">
        <v>40</v>
      </c>
      <c r="E87" s="41">
        <v>8</v>
      </c>
      <c r="F87" s="41">
        <v>10</v>
      </c>
      <c r="G87" s="41">
        <v>6</v>
      </c>
      <c r="H87" s="41">
        <v>3</v>
      </c>
      <c r="I87" s="41">
        <v>7</v>
      </c>
      <c r="J87" s="41">
        <v>6</v>
      </c>
      <c r="K87" s="40">
        <v>0.16769999999999999</v>
      </c>
      <c r="L87" s="48">
        <v>4.04</v>
      </c>
      <c r="M87" s="48">
        <v>4.5199999999999996</v>
      </c>
      <c r="N87" s="48">
        <v>6.25</v>
      </c>
      <c r="O87" s="48">
        <v>6.37</v>
      </c>
      <c r="P87" s="52">
        <v>9451.82</v>
      </c>
      <c r="Q87" s="46">
        <v>-314.59324400000003</v>
      </c>
      <c r="R87" s="52">
        <v>9545.81</v>
      </c>
      <c r="S87" s="46">
        <v>777.60166800000002</v>
      </c>
      <c r="T87" s="52">
        <v>9117.86</v>
      </c>
      <c r="U87" s="46">
        <v>-45.111302000000002</v>
      </c>
      <c r="V87" s="52">
        <v>9271.75</v>
      </c>
      <c r="W87" s="60">
        <v>225.24</v>
      </c>
    </row>
    <row r="88" spans="1:24">
      <c r="A88" s="7" t="s">
        <v>238</v>
      </c>
      <c r="B88" s="7" t="s">
        <v>45</v>
      </c>
      <c r="C88" s="7" t="s">
        <v>224</v>
      </c>
      <c r="D88" s="36">
        <v>38</v>
      </c>
      <c r="E88" s="37">
        <v>10</v>
      </c>
      <c r="F88" s="37">
        <v>10</v>
      </c>
      <c r="G88" s="37">
        <v>3</v>
      </c>
      <c r="H88" s="37">
        <v>3</v>
      </c>
      <c r="I88" s="37">
        <v>8</v>
      </c>
      <c r="J88" s="37">
        <v>3</v>
      </c>
      <c r="K88" s="19">
        <v>0.46610000000000001</v>
      </c>
      <c r="L88" s="48">
        <v>0</v>
      </c>
      <c r="M88" s="48">
        <v>0</v>
      </c>
      <c r="N88" s="48">
        <v>9.57</v>
      </c>
      <c r="O88" s="48">
        <v>7.9</v>
      </c>
      <c r="P88" s="52">
        <v>4781.59</v>
      </c>
      <c r="Q88" s="46">
        <v>-235.289807</v>
      </c>
      <c r="R88" s="52">
        <v>5358.17</v>
      </c>
      <c r="S88" s="46">
        <v>669.89471900000001</v>
      </c>
      <c r="T88" s="52">
        <v>6199.65</v>
      </c>
      <c r="U88" s="46">
        <v>374.55198100000001</v>
      </c>
      <c r="V88" s="52">
        <v>6262.36</v>
      </c>
      <c r="W88" s="60">
        <v>339.64</v>
      </c>
    </row>
    <row r="89" spans="1:24">
      <c r="A89" s="38" t="s">
        <v>223</v>
      </c>
      <c r="B89" s="38" t="s">
        <v>45</v>
      </c>
      <c r="C89" s="38" t="s">
        <v>224</v>
      </c>
      <c r="D89" s="39">
        <v>53</v>
      </c>
      <c r="E89" s="41">
        <v>8</v>
      </c>
      <c r="F89" s="41">
        <v>10</v>
      </c>
      <c r="G89" s="41">
        <v>9</v>
      </c>
      <c r="H89" s="41">
        <v>10</v>
      </c>
      <c r="I89" s="41">
        <v>6</v>
      </c>
      <c r="J89" s="41">
        <v>10</v>
      </c>
      <c r="K89" s="40">
        <v>1.1505000000000001</v>
      </c>
      <c r="L89" s="48">
        <v>1.1299999999999999</v>
      </c>
      <c r="M89" s="48">
        <v>1.71</v>
      </c>
      <c r="N89" s="48">
        <v>2.62</v>
      </c>
      <c r="O89" s="48">
        <v>6.12</v>
      </c>
      <c r="P89" s="52">
        <v>1073.5</v>
      </c>
      <c r="Q89" s="46">
        <v>192.143</v>
      </c>
      <c r="R89" s="52">
        <v>1336.68</v>
      </c>
      <c r="S89" s="46">
        <v>453.50599999999997</v>
      </c>
      <c r="T89" s="52">
        <v>1470.13</v>
      </c>
      <c r="U89" s="46">
        <v>496.36799999999999</v>
      </c>
      <c r="V89" s="52">
        <v>1554.67</v>
      </c>
      <c r="W89" s="60">
        <v>238.59</v>
      </c>
    </row>
    <row r="90" spans="1:24" ht="25">
      <c r="A90" s="7" t="s">
        <v>148</v>
      </c>
      <c r="B90" s="7" t="s">
        <v>43</v>
      </c>
      <c r="C90" s="7" t="s">
        <v>143</v>
      </c>
      <c r="D90" s="36">
        <v>51</v>
      </c>
      <c r="E90" s="37">
        <v>9</v>
      </c>
      <c r="F90" s="37">
        <v>10</v>
      </c>
      <c r="G90" s="37">
        <v>3</v>
      </c>
      <c r="H90" s="37">
        <v>10</v>
      </c>
      <c r="I90" s="37">
        <v>9</v>
      </c>
      <c r="J90" s="37">
        <v>3</v>
      </c>
      <c r="K90" s="19">
        <v>0.63859999999999995</v>
      </c>
      <c r="L90" s="48">
        <v>0.88</v>
      </c>
      <c r="M90" s="48">
        <v>1.34</v>
      </c>
      <c r="N90" s="48">
        <v>1.79</v>
      </c>
      <c r="O90" s="48">
        <v>3.13</v>
      </c>
      <c r="P90" s="52">
        <v>852605.22</v>
      </c>
      <c r="Q90" s="46">
        <v>69873.233470000006</v>
      </c>
      <c r="R90" s="52">
        <v>920841.35</v>
      </c>
      <c r="S90" s="46">
        <v>87171.845660000006</v>
      </c>
      <c r="T90" s="52">
        <v>987734.48</v>
      </c>
      <c r="U90" s="46">
        <v>76169.39</v>
      </c>
      <c r="V90" s="52">
        <v>1022142.85</v>
      </c>
      <c r="W90" s="60">
        <v>48403.22</v>
      </c>
    </row>
    <row r="91" spans="1:24">
      <c r="A91" s="38" t="s">
        <v>154</v>
      </c>
      <c r="B91" s="38" t="s">
        <v>43</v>
      </c>
      <c r="C91" s="38" t="s">
        <v>143</v>
      </c>
      <c r="D91" s="39">
        <v>41</v>
      </c>
      <c r="E91" s="41">
        <v>9</v>
      </c>
      <c r="F91" s="41">
        <v>10</v>
      </c>
      <c r="G91" s="41">
        <v>3</v>
      </c>
      <c r="H91" s="41">
        <v>6</v>
      </c>
      <c r="I91" s="41">
        <v>7</v>
      </c>
      <c r="J91" s="41">
        <v>3</v>
      </c>
      <c r="K91" s="40">
        <v>0.75019999999999998</v>
      </c>
      <c r="L91" s="48">
        <v>0.65</v>
      </c>
      <c r="M91" s="48">
        <v>1.17</v>
      </c>
      <c r="N91" s="48">
        <v>1.62</v>
      </c>
      <c r="O91" s="48">
        <v>3.33</v>
      </c>
      <c r="P91" s="52">
        <v>236244.78</v>
      </c>
      <c r="Q91" s="46">
        <v>22459.71139</v>
      </c>
      <c r="R91" s="52">
        <v>248688.43</v>
      </c>
      <c r="S91" s="46">
        <v>27483.31741</v>
      </c>
      <c r="T91" s="52">
        <v>244370.54</v>
      </c>
      <c r="U91" s="46">
        <v>29472.476999999999</v>
      </c>
      <c r="V91" s="52">
        <v>253164.51</v>
      </c>
      <c r="W91" s="60">
        <v>890.32</v>
      </c>
    </row>
    <row r="92" spans="1:24">
      <c r="A92" s="7" t="s">
        <v>142</v>
      </c>
      <c r="B92" s="7" t="s">
        <v>43</v>
      </c>
      <c r="C92" s="7" t="s">
        <v>143</v>
      </c>
      <c r="D92" s="36">
        <v>55</v>
      </c>
      <c r="E92" s="37">
        <v>9</v>
      </c>
      <c r="F92" s="37">
        <v>10</v>
      </c>
      <c r="G92" s="37">
        <v>8</v>
      </c>
      <c r="H92" s="37">
        <v>10</v>
      </c>
      <c r="I92" s="37">
        <v>10</v>
      </c>
      <c r="J92" s="37">
        <v>8</v>
      </c>
      <c r="K92" s="19">
        <v>0.57869999999999999</v>
      </c>
      <c r="L92" s="48">
        <v>2.2599999999999998</v>
      </c>
      <c r="M92" s="48">
        <v>1.59</v>
      </c>
      <c r="N92" s="48">
        <v>2.62</v>
      </c>
      <c r="O92" s="48">
        <v>4.46</v>
      </c>
      <c r="P92" s="52">
        <v>1875.16</v>
      </c>
      <c r="Q92" s="46">
        <v>207.77737999999999</v>
      </c>
      <c r="R92" s="52">
        <v>2455.5</v>
      </c>
      <c r="S92" s="46">
        <v>496.70363400000002</v>
      </c>
      <c r="T92" s="52">
        <v>3203.9</v>
      </c>
      <c r="U92" s="46">
        <v>436.57369999999997</v>
      </c>
      <c r="V92" s="52">
        <v>3484.14</v>
      </c>
      <c r="W92" s="60">
        <v>952.39</v>
      </c>
    </row>
    <row r="93" spans="1:24">
      <c r="A93" s="38" t="s">
        <v>151</v>
      </c>
      <c r="B93" s="38" t="s">
        <v>43</v>
      </c>
      <c r="C93" s="38" t="s">
        <v>152</v>
      </c>
      <c r="D93" s="39">
        <v>47</v>
      </c>
      <c r="E93" s="41">
        <v>7</v>
      </c>
      <c r="F93" s="41">
        <v>10</v>
      </c>
      <c r="G93" s="41">
        <v>7</v>
      </c>
      <c r="H93" s="41">
        <v>9</v>
      </c>
      <c r="I93" s="41">
        <v>8</v>
      </c>
      <c r="J93" s="41">
        <v>8</v>
      </c>
      <c r="K93" s="40">
        <v>0.79430000000000001</v>
      </c>
      <c r="L93" s="48">
        <v>1.55</v>
      </c>
      <c r="M93" s="48">
        <v>2.16</v>
      </c>
      <c r="N93" s="48">
        <v>2.86</v>
      </c>
      <c r="O93" s="48">
        <v>3.89</v>
      </c>
      <c r="P93" s="52">
        <v>93055.58</v>
      </c>
      <c r="Q93" s="46">
        <v>20266.37916</v>
      </c>
      <c r="R93" s="52">
        <v>102327.27</v>
      </c>
      <c r="S93" s="46">
        <v>20778.386589999998</v>
      </c>
      <c r="T93" s="52">
        <v>109587.61</v>
      </c>
      <c r="U93" s="46">
        <v>22957.77809</v>
      </c>
      <c r="V93" s="52">
        <v>113385.87</v>
      </c>
      <c r="W93" s="60">
        <v>5293.77</v>
      </c>
    </row>
    <row r="94" spans="1:24">
      <c r="A94" s="7" t="s">
        <v>157</v>
      </c>
      <c r="B94" s="7" t="s">
        <v>43</v>
      </c>
      <c r="C94" s="7" t="s">
        <v>152</v>
      </c>
      <c r="D94" s="36">
        <v>38</v>
      </c>
      <c r="E94" s="37">
        <v>2</v>
      </c>
      <c r="F94" s="37">
        <v>3</v>
      </c>
      <c r="G94" s="37">
        <v>3</v>
      </c>
      <c r="H94" s="37">
        <v>3</v>
      </c>
      <c r="I94" s="37">
        <v>6</v>
      </c>
      <c r="J94" s="37">
        <v>5</v>
      </c>
      <c r="K94" s="19">
        <v>1.1657</v>
      </c>
      <c r="L94" s="48">
        <v>2.39</v>
      </c>
      <c r="M94" s="48">
        <v>3.26</v>
      </c>
      <c r="N94" s="48">
        <v>3.13</v>
      </c>
      <c r="O94" s="48">
        <v>3.52</v>
      </c>
      <c r="P94" s="52">
        <v>5351.39</v>
      </c>
      <c r="Q94" s="46">
        <v>1120.0499649999999</v>
      </c>
      <c r="R94" s="52">
        <v>5244.32</v>
      </c>
      <c r="S94" s="46">
        <v>971.59179600000004</v>
      </c>
      <c r="T94" s="52">
        <v>5424.86</v>
      </c>
      <c r="U94" s="46">
        <v>921.57251799999995</v>
      </c>
      <c r="V94" s="52">
        <v>5068.63</v>
      </c>
      <c r="W94" s="60">
        <v>429.74</v>
      </c>
    </row>
    <row r="95" spans="1:24">
      <c r="A95" s="38" t="s">
        <v>159</v>
      </c>
      <c r="B95" s="38" t="s">
        <v>43</v>
      </c>
      <c r="C95" s="38" t="s">
        <v>152</v>
      </c>
      <c r="D95" s="39">
        <v>35</v>
      </c>
      <c r="E95" s="41">
        <v>2</v>
      </c>
      <c r="F95" s="41">
        <v>3</v>
      </c>
      <c r="G95" s="41">
        <v>7</v>
      </c>
      <c r="H95" s="41">
        <v>3</v>
      </c>
      <c r="I95" s="41">
        <v>8</v>
      </c>
      <c r="J95" s="41">
        <v>9</v>
      </c>
      <c r="K95" s="40">
        <v>1.0346</v>
      </c>
      <c r="L95" s="48">
        <v>5.85</v>
      </c>
      <c r="M95" s="48">
        <v>3.57</v>
      </c>
      <c r="N95" s="48">
        <v>2.29</v>
      </c>
      <c r="O95" s="48">
        <v>3.85</v>
      </c>
      <c r="P95" s="52">
        <v>18918.47</v>
      </c>
      <c r="Q95" s="46">
        <v>5714.6090599999998</v>
      </c>
      <c r="R95" s="52">
        <v>11848.13</v>
      </c>
      <c r="S95" s="46">
        <v>4183.1027770000001</v>
      </c>
      <c r="T95" s="52">
        <v>11846.15</v>
      </c>
      <c r="U95" s="46">
        <v>2677.0871619999998</v>
      </c>
      <c r="V95" s="52">
        <v>12035.15</v>
      </c>
      <c r="W95" s="60">
        <v>1712.53</v>
      </c>
    </row>
    <row r="96" spans="1:24">
      <c r="A96" s="7" t="s">
        <v>144</v>
      </c>
      <c r="B96" s="7" t="s">
        <v>43</v>
      </c>
      <c r="C96" s="7" t="s">
        <v>145</v>
      </c>
      <c r="D96" s="36">
        <v>53</v>
      </c>
      <c r="E96" s="37">
        <v>10</v>
      </c>
      <c r="F96" s="37">
        <v>10</v>
      </c>
      <c r="G96" s="37">
        <v>6</v>
      </c>
      <c r="H96" s="37">
        <v>10</v>
      </c>
      <c r="I96" s="37">
        <v>7</v>
      </c>
      <c r="J96" s="37">
        <v>6</v>
      </c>
      <c r="K96" s="19">
        <v>1.1214</v>
      </c>
      <c r="L96" s="49">
        <v>0</v>
      </c>
      <c r="M96" s="48">
        <v>0.79</v>
      </c>
      <c r="N96" s="48">
        <v>1.05</v>
      </c>
      <c r="O96" s="48">
        <v>2.79</v>
      </c>
      <c r="P96" s="52">
        <v>6706.16</v>
      </c>
      <c r="Q96" s="46">
        <v>2855.6000869999998</v>
      </c>
      <c r="R96" s="52">
        <v>8445.89</v>
      </c>
      <c r="S96" s="46">
        <v>3019.9092679999999</v>
      </c>
      <c r="T96" s="52">
        <v>9237.92</v>
      </c>
      <c r="U96" s="46">
        <v>3315.5575330000001</v>
      </c>
      <c r="V96" s="52">
        <v>9610.08</v>
      </c>
      <c r="W96" s="60">
        <v>2541.5500000000002</v>
      </c>
    </row>
    <row r="97" spans="1:23">
      <c r="A97" s="38" t="s">
        <v>160</v>
      </c>
      <c r="B97" s="38" t="s">
        <v>43</v>
      </c>
      <c r="C97" s="38" t="s">
        <v>145</v>
      </c>
      <c r="D97" s="39">
        <v>32</v>
      </c>
      <c r="E97" s="41">
        <v>5</v>
      </c>
      <c r="F97" s="41">
        <v>5</v>
      </c>
      <c r="G97" s="41">
        <v>8</v>
      </c>
      <c r="H97" s="41">
        <v>3</v>
      </c>
      <c r="I97" s="41">
        <v>6</v>
      </c>
      <c r="J97" s="41">
        <v>9</v>
      </c>
      <c r="K97" s="40">
        <v>0.72060000000000002</v>
      </c>
      <c r="L97" s="48">
        <v>0.87</v>
      </c>
      <c r="M97" s="48">
        <v>7.57</v>
      </c>
      <c r="N97" s="48">
        <v>4.1500000000000004</v>
      </c>
      <c r="O97" s="48">
        <v>7.94</v>
      </c>
      <c r="P97" s="52">
        <v>6235.97</v>
      </c>
      <c r="Q97" s="46">
        <v>541.30975999999998</v>
      </c>
      <c r="R97" s="52">
        <v>6533.49</v>
      </c>
      <c r="S97" s="46">
        <v>602.99118799999997</v>
      </c>
      <c r="T97" s="52">
        <v>6700.96</v>
      </c>
      <c r="U97" s="46">
        <v>847.062456</v>
      </c>
      <c r="V97" s="52">
        <v>7331.32</v>
      </c>
      <c r="W97" s="60">
        <v>77.44</v>
      </c>
    </row>
    <row r="98" spans="1:23">
      <c r="A98" s="7" t="s">
        <v>158</v>
      </c>
      <c r="B98" s="7" t="s">
        <v>43</v>
      </c>
      <c r="C98" s="7" t="s">
        <v>145</v>
      </c>
      <c r="D98" s="36">
        <v>36</v>
      </c>
      <c r="E98" s="37">
        <v>2</v>
      </c>
      <c r="F98" s="37">
        <v>3</v>
      </c>
      <c r="G98" s="37">
        <v>5</v>
      </c>
      <c r="H98" s="37">
        <v>10</v>
      </c>
      <c r="I98" s="37">
        <v>7</v>
      </c>
      <c r="J98" s="37">
        <v>5</v>
      </c>
      <c r="K98" s="19">
        <v>0.54720000000000002</v>
      </c>
      <c r="L98" s="48">
        <v>8.7899999999999991</v>
      </c>
      <c r="M98" s="48">
        <v>1.8</v>
      </c>
      <c r="N98" s="48">
        <v>5.1100000000000003</v>
      </c>
      <c r="O98" s="48">
        <v>2.92</v>
      </c>
      <c r="P98" s="52">
        <v>6749.4</v>
      </c>
      <c r="Q98" s="46">
        <v>260.42027300000001</v>
      </c>
      <c r="R98" s="52">
        <v>8734.15</v>
      </c>
      <c r="S98" s="46">
        <v>1952.4092290000001</v>
      </c>
      <c r="T98" s="52">
        <v>7983.94</v>
      </c>
      <c r="U98" s="46">
        <v>1094.6037960000001</v>
      </c>
      <c r="V98" s="52">
        <v>7787.12</v>
      </c>
      <c r="W98" s="60">
        <v>1138.03</v>
      </c>
    </row>
    <row r="99" spans="1:23">
      <c r="A99" s="38" t="s">
        <v>140</v>
      </c>
      <c r="B99" s="38" t="s">
        <v>43</v>
      </c>
      <c r="C99" s="38" t="s">
        <v>141</v>
      </c>
      <c r="D99" s="39">
        <v>59</v>
      </c>
      <c r="E99" s="41">
        <v>10</v>
      </c>
      <c r="F99" s="41">
        <v>10</v>
      </c>
      <c r="G99" s="41">
        <v>7</v>
      </c>
      <c r="H99" s="41">
        <v>10</v>
      </c>
      <c r="I99" s="41">
        <v>10</v>
      </c>
      <c r="J99" s="41">
        <v>7</v>
      </c>
      <c r="K99" s="40">
        <v>1.1376999999999999</v>
      </c>
      <c r="L99" s="48">
        <v>0.52</v>
      </c>
      <c r="M99" s="48">
        <v>0.45</v>
      </c>
      <c r="N99" s="48">
        <v>1.03</v>
      </c>
      <c r="O99" s="48">
        <v>3.75</v>
      </c>
      <c r="P99" s="52">
        <v>1344.41</v>
      </c>
      <c r="Q99" s="46">
        <v>700.30005400000005</v>
      </c>
      <c r="R99" s="52">
        <v>1940.19</v>
      </c>
      <c r="S99" s="46">
        <v>1169.754232</v>
      </c>
      <c r="T99" s="52">
        <v>2418.85</v>
      </c>
      <c r="U99" s="46">
        <v>1227.7633390000001</v>
      </c>
      <c r="V99" s="52">
        <v>2581.5</v>
      </c>
      <c r="W99" s="60">
        <v>16.18</v>
      </c>
    </row>
    <row r="100" spans="1:23">
      <c r="A100" s="7" t="s">
        <v>155</v>
      </c>
      <c r="B100" s="7" t="s">
        <v>43</v>
      </c>
      <c r="C100" s="7" t="s">
        <v>141</v>
      </c>
      <c r="D100" s="36">
        <v>40</v>
      </c>
      <c r="E100" s="37">
        <v>5</v>
      </c>
      <c r="F100" s="37">
        <v>10</v>
      </c>
      <c r="G100" s="37">
        <v>6</v>
      </c>
      <c r="H100" s="37">
        <v>3</v>
      </c>
      <c r="I100" s="37">
        <v>9</v>
      </c>
      <c r="J100" s="37">
        <v>5</v>
      </c>
      <c r="K100" s="19">
        <v>0.66920000000000002</v>
      </c>
      <c r="L100" s="48">
        <v>1.94</v>
      </c>
      <c r="M100" s="48">
        <v>4.83</v>
      </c>
      <c r="N100" s="48">
        <v>8.48</v>
      </c>
      <c r="O100" s="48">
        <v>4.63</v>
      </c>
      <c r="P100" s="52">
        <v>2318.7800000000002</v>
      </c>
      <c r="Q100" s="46">
        <v>259.98395099999999</v>
      </c>
      <c r="R100" s="52">
        <v>2382.4699999999998</v>
      </c>
      <c r="S100" s="46">
        <v>352.63115599999998</v>
      </c>
      <c r="T100" s="52">
        <v>2584.64</v>
      </c>
      <c r="U100" s="46">
        <v>327.32332400000001</v>
      </c>
      <c r="V100" s="52">
        <v>2845.8</v>
      </c>
      <c r="W100" s="60">
        <v>576.12</v>
      </c>
    </row>
    <row r="101" spans="1:23">
      <c r="A101" s="38" t="s">
        <v>156</v>
      </c>
      <c r="B101" s="38" t="s">
        <v>43</v>
      </c>
      <c r="C101" s="38" t="s">
        <v>150</v>
      </c>
      <c r="D101" s="39">
        <v>39</v>
      </c>
      <c r="E101" s="41">
        <v>10</v>
      </c>
      <c r="F101" s="41">
        <v>10</v>
      </c>
      <c r="G101" s="41">
        <v>5</v>
      </c>
      <c r="H101" s="41">
        <v>8</v>
      </c>
      <c r="I101" s="41">
        <v>4</v>
      </c>
      <c r="J101" s="41">
        <v>5</v>
      </c>
      <c r="K101" s="40">
        <v>1.7431000000000001</v>
      </c>
      <c r="L101" s="48">
        <v>0</v>
      </c>
      <c r="M101" s="48">
        <v>0</v>
      </c>
      <c r="N101" s="48">
        <v>0.64</v>
      </c>
      <c r="O101" s="48">
        <v>1.75</v>
      </c>
      <c r="P101" s="52">
        <v>8824.2900000000009</v>
      </c>
      <c r="Q101" s="46">
        <v>1699.902124</v>
      </c>
      <c r="R101" s="52">
        <v>10096.75</v>
      </c>
      <c r="S101" s="46">
        <v>992.35175100000004</v>
      </c>
      <c r="T101" s="52">
        <v>10638.04</v>
      </c>
      <c r="U101" s="46">
        <v>1783.629216</v>
      </c>
      <c r="V101" s="52">
        <v>10479.959999999999</v>
      </c>
      <c r="W101" s="60">
        <v>15.62</v>
      </c>
    </row>
    <row r="102" spans="1:23">
      <c r="A102" s="7" t="s">
        <v>149</v>
      </c>
      <c r="B102" s="7" t="s">
        <v>43</v>
      </c>
      <c r="C102" s="7" t="s">
        <v>150</v>
      </c>
      <c r="D102" s="36">
        <v>48</v>
      </c>
      <c r="E102" s="37">
        <v>9</v>
      </c>
      <c r="F102" s="37">
        <v>10</v>
      </c>
      <c r="G102" s="37">
        <v>3</v>
      </c>
      <c r="H102" s="37">
        <v>10</v>
      </c>
      <c r="I102" s="37">
        <v>6</v>
      </c>
      <c r="J102" s="37">
        <v>3</v>
      </c>
      <c r="K102" s="19">
        <v>1.0552999999999999</v>
      </c>
      <c r="L102" s="48">
        <v>0</v>
      </c>
      <c r="M102" s="48">
        <v>0.81</v>
      </c>
      <c r="N102" s="48">
        <v>2.1800000000000002</v>
      </c>
      <c r="O102" s="48">
        <v>2.4700000000000002</v>
      </c>
      <c r="P102" s="52">
        <v>124205.85</v>
      </c>
      <c r="Q102" s="46">
        <v>30139.172350000001</v>
      </c>
      <c r="R102" s="52">
        <v>153049.24</v>
      </c>
      <c r="S102" s="46">
        <v>38017.099670000003</v>
      </c>
      <c r="T102" s="52">
        <v>165362.26999999999</v>
      </c>
      <c r="U102" s="46">
        <v>40790.696000000004</v>
      </c>
      <c r="V102" s="52">
        <v>165804.71</v>
      </c>
      <c r="W102" s="60">
        <v>473</v>
      </c>
    </row>
    <row r="103" spans="1:23" ht="25">
      <c r="A103" s="38" t="s">
        <v>146</v>
      </c>
      <c r="B103" s="38" t="s">
        <v>43</v>
      </c>
      <c r="C103" s="38" t="s">
        <v>147</v>
      </c>
      <c r="D103" s="39">
        <v>53</v>
      </c>
      <c r="E103" s="41">
        <v>8</v>
      </c>
      <c r="F103" s="41">
        <v>10</v>
      </c>
      <c r="G103" s="41">
        <v>6</v>
      </c>
      <c r="H103" s="41">
        <v>10</v>
      </c>
      <c r="I103" s="41">
        <v>4</v>
      </c>
      <c r="J103" s="41">
        <v>7</v>
      </c>
      <c r="K103" s="40">
        <v>1.2776000000000001</v>
      </c>
      <c r="L103" s="48">
        <v>0</v>
      </c>
      <c r="M103" s="48">
        <v>0.6</v>
      </c>
      <c r="N103" s="48">
        <v>1.33</v>
      </c>
      <c r="O103" s="48">
        <v>1.53</v>
      </c>
      <c r="P103" s="52">
        <v>16992.5</v>
      </c>
      <c r="Q103" s="46">
        <v>-171.35715099999999</v>
      </c>
      <c r="R103" s="52">
        <v>48435.31</v>
      </c>
      <c r="S103" s="46">
        <v>16872.735339999999</v>
      </c>
      <c r="T103" s="52">
        <v>67733.919999999998</v>
      </c>
      <c r="U103" s="46">
        <v>41056.31</v>
      </c>
      <c r="V103" s="52">
        <v>67491.210000000006</v>
      </c>
      <c r="W103" s="60">
        <v>36418.68</v>
      </c>
    </row>
    <row r="104" spans="1:23">
      <c r="A104" s="7" t="s">
        <v>153</v>
      </c>
      <c r="B104" s="7" t="s">
        <v>43</v>
      </c>
      <c r="C104" s="7" t="s">
        <v>147</v>
      </c>
      <c r="D104" s="36">
        <v>43</v>
      </c>
      <c r="E104" s="37">
        <v>8</v>
      </c>
      <c r="F104" s="37">
        <v>5</v>
      </c>
      <c r="G104" s="37">
        <v>8</v>
      </c>
      <c r="H104" s="37">
        <v>3</v>
      </c>
      <c r="I104" s="37">
        <v>10</v>
      </c>
      <c r="J104" s="37">
        <v>9</v>
      </c>
      <c r="K104" s="19">
        <v>0.39539999999999997</v>
      </c>
      <c r="L104" s="48">
        <v>2.5499999999999998</v>
      </c>
      <c r="M104" s="48">
        <v>5.01</v>
      </c>
      <c r="N104" s="48">
        <v>6.9</v>
      </c>
      <c r="O104" s="48">
        <v>8.0299999999999994</v>
      </c>
      <c r="P104" s="52">
        <v>2878.38</v>
      </c>
      <c r="Q104" s="46">
        <v>359.128806</v>
      </c>
      <c r="R104" s="52">
        <v>2079.87</v>
      </c>
      <c r="S104" s="46">
        <v>96.01755</v>
      </c>
      <c r="T104" s="52">
        <v>2407.59</v>
      </c>
      <c r="U104" s="46">
        <v>168.28777500000001</v>
      </c>
      <c r="V104" s="52">
        <v>2492.92</v>
      </c>
      <c r="W104" s="60">
        <v>20.14</v>
      </c>
    </row>
    <row r="105" spans="1:23">
      <c r="A105" s="38" t="s">
        <v>114</v>
      </c>
      <c r="B105" s="38" t="s">
        <v>49</v>
      </c>
      <c r="C105" s="38" t="s">
        <v>107</v>
      </c>
      <c r="D105" s="39">
        <v>34</v>
      </c>
      <c r="E105" s="41">
        <v>9</v>
      </c>
      <c r="F105" s="41">
        <v>5</v>
      </c>
      <c r="G105" s="41">
        <v>3</v>
      </c>
      <c r="H105" s="41">
        <v>3</v>
      </c>
      <c r="I105" s="41">
        <v>8</v>
      </c>
      <c r="J105" s="41">
        <v>3</v>
      </c>
      <c r="K105" s="40">
        <v>0.76</v>
      </c>
      <c r="L105" s="48">
        <v>4.22</v>
      </c>
      <c r="M105" s="48">
        <v>6.88</v>
      </c>
      <c r="N105" s="48">
        <v>12.04</v>
      </c>
      <c r="O105" s="48">
        <v>5.28</v>
      </c>
      <c r="P105" s="52">
        <v>530451.37</v>
      </c>
      <c r="Q105" s="46">
        <v>43250.756679999999</v>
      </c>
      <c r="R105" s="52">
        <v>470582.84</v>
      </c>
      <c r="S105" s="46">
        <v>28087.768660000002</v>
      </c>
      <c r="T105" s="52">
        <v>469919.49</v>
      </c>
      <c r="U105" s="46">
        <v>39354.701999999997</v>
      </c>
      <c r="V105" s="52">
        <v>401814.08</v>
      </c>
      <c r="W105" s="60">
        <v>9384.4500000000007</v>
      </c>
    </row>
    <row r="106" spans="1:23">
      <c r="A106" s="7" t="s">
        <v>118</v>
      </c>
      <c r="B106" s="7" t="s">
        <v>49</v>
      </c>
      <c r="C106" s="7" t="s">
        <v>107</v>
      </c>
      <c r="D106" s="36">
        <v>30</v>
      </c>
      <c r="E106" s="37">
        <v>2</v>
      </c>
      <c r="F106" s="37">
        <v>3</v>
      </c>
      <c r="G106" s="37">
        <v>7</v>
      </c>
      <c r="H106" s="37">
        <v>10</v>
      </c>
      <c r="I106" s="37">
        <v>7</v>
      </c>
      <c r="J106" s="37">
        <v>9</v>
      </c>
      <c r="K106" s="19">
        <v>0.79959999999999998</v>
      </c>
      <c r="L106" s="48">
        <v>11.67</v>
      </c>
      <c r="M106" s="48">
        <v>10.47</v>
      </c>
      <c r="N106" s="48">
        <v>5.46</v>
      </c>
      <c r="O106" s="48">
        <v>11.26</v>
      </c>
      <c r="P106" s="52">
        <v>8761.49</v>
      </c>
      <c r="Q106" s="46">
        <v>341.47525300000001</v>
      </c>
      <c r="R106" s="52">
        <v>8758.06</v>
      </c>
      <c r="S106" s="46">
        <v>262.29976299999998</v>
      </c>
      <c r="T106" s="52">
        <v>9155</v>
      </c>
      <c r="U106" s="46">
        <v>531.47747100000004</v>
      </c>
      <c r="V106" s="52">
        <v>8161.77</v>
      </c>
      <c r="W106" s="60">
        <v>79.5</v>
      </c>
    </row>
    <row r="107" spans="1:23">
      <c r="A107" s="38" t="s">
        <v>117</v>
      </c>
      <c r="B107" s="38" t="s">
        <v>49</v>
      </c>
      <c r="C107" s="38" t="s">
        <v>107</v>
      </c>
      <c r="D107" s="39">
        <v>31</v>
      </c>
      <c r="E107" s="41">
        <v>6</v>
      </c>
      <c r="F107" s="41">
        <v>10</v>
      </c>
      <c r="G107" s="41">
        <v>6</v>
      </c>
      <c r="H107" s="41">
        <v>3</v>
      </c>
      <c r="I107" s="41">
        <v>7</v>
      </c>
      <c r="J107" s="41">
        <v>7</v>
      </c>
      <c r="K107" s="40">
        <v>0.15609999999999999</v>
      </c>
      <c r="L107" s="48">
        <v>3.96</v>
      </c>
      <c r="M107" s="48">
        <v>4.83</v>
      </c>
      <c r="N107" s="48">
        <v>7.41</v>
      </c>
      <c r="O107" s="48">
        <v>4.76</v>
      </c>
      <c r="P107" s="52">
        <v>25406.65</v>
      </c>
      <c r="Q107" s="46">
        <v>630.69399999999996</v>
      </c>
      <c r="R107" s="52">
        <v>31151.84</v>
      </c>
      <c r="S107" s="46">
        <v>3753.627</v>
      </c>
      <c r="T107" s="52">
        <v>26722.89</v>
      </c>
      <c r="U107" s="46">
        <v>-413.01299999999998</v>
      </c>
      <c r="V107" s="52">
        <v>28813.72</v>
      </c>
      <c r="W107" s="60">
        <v>-282.38</v>
      </c>
    </row>
    <row r="108" spans="1:23">
      <c r="A108" s="7" t="s">
        <v>119</v>
      </c>
      <c r="B108" s="7" t="s">
        <v>49</v>
      </c>
      <c r="C108" s="7" t="s">
        <v>107</v>
      </c>
      <c r="D108" s="36">
        <v>29</v>
      </c>
      <c r="E108" s="37">
        <v>8</v>
      </c>
      <c r="F108" s="37">
        <v>3</v>
      </c>
      <c r="G108" s="37">
        <v>5</v>
      </c>
      <c r="H108" s="37">
        <v>3</v>
      </c>
      <c r="I108" s="37">
        <v>6</v>
      </c>
      <c r="J108" s="37">
        <v>5</v>
      </c>
      <c r="K108" s="19">
        <v>0.65500000000000003</v>
      </c>
      <c r="L108" s="48">
        <v>3.12</v>
      </c>
      <c r="M108" s="48">
        <v>3.96</v>
      </c>
      <c r="N108" s="48">
        <v>4.45</v>
      </c>
      <c r="O108" s="48">
        <v>4.1500000000000004</v>
      </c>
      <c r="P108" s="52">
        <v>5558.2</v>
      </c>
      <c r="Q108" s="46">
        <v>3035.34854</v>
      </c>
      <c r="R108" s="52">
        <v>5332.97</v>
      </c>
      <c r="S108" s="46">
        <v>3229.7800560000001</v>
      </c>
      <c r="T108" s="52">
        <v>7130.62</v>
      </c>
      <c r="U108" s="46">
        <v>2153.148827</v>
      </c>
      <c r="V108" s="52">
        <v>3857.79</v>
      </c>
      <c r="W108" s="60">
        <v>-69.42</v>
      </c>
    </row>
    <row r="109" spans="1:23">
      <c r="A109" s="38" t="s">
        <v>111</v>
      </c>
      <c r="B109" s="38" t="s">
        <v>49</v>
      </c>
      <c r="C109" s="38" t="s">
        <v>107</v>
      </c>
      <c r="D109" s="39">
        <v>35</v>
      </c>
      <c r="E109" s="41">
        <v>2</v>
      </c>
      <c r="F109" s="41">
        <v>5</v>
      </c>
      <c r="G109" s="41">
        <v>5</v>
      </c>
      <c r="H109" s="41">
        <v>10</v>
      </c>
      <c r="I109" s="41">
        <v>6</v>
      </c>
      <c r="J109" s="41">
        <v>5</v>
      </c>
      <c r="K109" s="40">
        <v>1.0012000000000001</v>
      </c>
      <c r="L109" s="48">
        <v>6.16</v>
      </c>
      <c r="M109" s="48">
        <v>4.0599999999999996</v>
      </c>
      <c r="N109" s="48">
        <v>5.24</v>
      </c>
      <c r="O109" s="48">
        <v>6.01</v>
      </c>
      <c r="P109" s="52">
        <v>2671.39</v>
      </c>
      <c r="Q109" s="46">
        <v>780.54596000000004</v>
      </c>
      <c r="R109" s="52">
        <v>2801.57</v>
      </c>
      <c r="S109" s="46">
        <v>1394.362936</v>
      </c>
      <c r="T109" s="52">
        <v>2943.82</v>
      </c>
      <c r="U109" s="46">
        <v>1751.900848</v>
      </c>
      <c r="V109" s="52">
        <v>3301.77</v>
      </c>
      <c r="W109" s="60">
        <v>622.75</v>
      </c>
    </row>
    <row r="110" spans="1:23">
      <c r="A110" s="7" t="s">
        <v>115</v>
      </c>
      <c r="B110" s="7" t="s">
        <v>49</v>
      </c>
      <c r="C110" s="7" t="s">
        <v>107</v>
      </c>
      <c r="D110" s="36">
        <v>34</v>
      </c>
      <c r="E110" s="37">
        <v>2</v>
      </c>
      <c r="F110" s="37">
        <v>5</v>
      </c>
      <c r="G110" s="37">
        <v>7</v>
      </c>
      <c r="H110" s="37">
        <v>10</v>
      </c>
      <c r="I110" s="37">
        <v>4</v>
      </c>
      <c r="J110" s="37">
        <v>8</v>
      </c>
      <c r="K110" s="19">
        <v>0.18390000000000001</v>
      </c>
      <c r="L110" s="48">
        <v>0</v>
      </c>
      <c r="M110" s="48">
        <v>6.01</v>
      </c>
      <c r="N110" s="48">
        <v>1.1200000000000001</v>
      </c>
      <c r="O110" s="48">
        <v>3.57</v>
      </c>
      <c r="P110" s="52">
        <v>13418.84</v>
      </c>
      <c r="Q110" s="46">
        <v>462.843053</v>
      </c>
      <c r="R110" s="52">
        <v>13874.47</v>
      </c>
      <c r="S110" s="46">
        <v>815.77331900000001</v>
      </c>
      <c r="T110" s="52">
        <v>22282.63</v>
      </c>
      <c r="U110" s="46">
        <v>-25.819426</v>
      </c>
      <c r="V110" s="52">
        <v>17873.009999999998</v>
      </c>
      <c r="W110" s="60">
        <v>-6.69</v>
      </c>
    </row>
    <row r="111" spans="1:23">
      <c r="A111" s="38" t="s">
        <v>121</v>
      </c>
      <c r="B111" s="38" t="s">
        <v>49</v>
      </c>
      <c r="C111" s="38" t="s">
        <v>107</v>
      </c>
      <c r="D111" s="39">
        <v>25</v>
      </c>
      <c r="E111" s="41">
        <v>6</v>
      </c>
      <c r="F111" s="41">
        <v>3</v>
      </c>
      <c r="G111" s="41">
        <v>3</v>
      </c>
      <c r="H111" s="41">
        <v>3</v>
      </c>
      <c r="I111" s="41">
        <v>4</v>
      </c>
      <c r="J111" s="41">
        <v>3</v>
      </c>
      <c r="K111" s="40">
        <v>0.83740000000000003</v>
      </c>
      <c r="L111" s="48">
        <v>1.06</v>
      </c>
      <c r="M111" s="48">
        <v>0.24</v>
      </c>
      <c r="N111" s="48">
        <v>1.85</v>
      </c>
      <c r="O111" s="48">
        <v>3.05</v>
      </c>
      <c r="P111" s="52">
        <v>63247.16</v>
      </c>
      <c r="Q111" s="46">
        <v>7908.3841990000001</v>
      </c>
      <c r="R111" s="52">
        <v>58228.53</v>
      </c>
      <c r="S111" s="46">
        <v>7813.8107030000001</v>
      </c>
      <c r="T111" s="52">
        <v>57023.199999999997</v>
      </c>
      <c r="U111" s="46">
        <v>7443.4309999999996</v>
      </c>
      <c r="V111" s="52">
        <v>56683.95</v>
      </c>
      <c r="W111" s="60">
        <v>-623.29</v>
      </c>
    </row>
    <row r="112" spans="1:23">
      <c r="A112" s="7" t="s">
        <v>120</v>
      </c>
      <c r="B112" s="7" t="s">
        <v>49</v>
      </c>
      <c r="C112" s="7" t="s">
        <v>107</v>
      </c>
      <c r="D112" s="36">
        <v>29</v>
      </c>
      <c r="E112" s="37">
        <v>2</v>
      </c>
      <c r="F112" s="37">
        <v>3</v>
      </c>
      <c r="G112" s="37">
        <v>5</v>
      </c>
      <c r="H112" s="37">
        <v>3</v>
      </c>
      <c r="I112" s="37">
        <v>4</v>
      </c>
      <c r="J112" s="37">
        <v>5</v>
      </c>
      <c r="K112" s="19">
        <v>2.8767</v>
      </c>
      <c r="L112" s="48">
        <v>7.92</v>
      </c>
      <c r="M112" s="48">
        <v>5.0199999999999996</v>
      </c>
      <c r="N112" s="48">
        <v>3.65</v>
      </c>
      <c r="O112" s="48">
        <v>1.01</v>
      </c>
      <c r="P112" s="52">
        <v>4366.6400000000003</v>
      </c>
      <c r="Q112" s="46">
        <v>1912.1415930000001</v>
      </c>
      <c r="R112" s="52">
        <v>4352.72</v>
      </c>
      <c r="S112" s="46">
        <v>1752.833261</v>
      </c>
      <c r="T112" s="52">
        <v>4172.6899999999996</v>
      </c>
      <c r="U112" s="46">
        <v>1109.34986</v>
      </c>
      <c r="V112" s="52">
        <v>3607.02</v>
      </c>
      <c r="W112" s="60">
        <v>926.72</v>
      </c>
    </row>
    <row r="113" spans="1:23">
      <c r="A113" s="38" t="s">
        <v>112</v>
      </c>
      <c r="B113" s="38" t="s">
        <v>49</v>
      </c>
      <c r="C113" s="38" t="s">
        <v>107</v>
      </c>
      <c r="D113" s="39">
        <v>35</v>
      </c>
      <c r="E113" s="41">
        <v>10</v>
      </c>
      <c r="F113" s="41">
        <v>5</v>
      </c>
      <c r="G113" s="41">
        <v>3</v>
      </c>
      <c r="H113" s="41">
        <v>3</v>
      </c>
      <c r="I113" s="41">
        <v>8</v>
      </c>
      <c r="J113" s="41">
        <v>3</v>
      </c>
      <c r="K113" s="40">
        <v>1.3249</v>
      </c>
      <c r="L113" s="48">
        <v>0.1</v>
      </c>
      <c r="M113" s="48">
        <v>2.99</v>
      </c>
      <c r="N113" s="48">
        <v>1.87</v>
      </c>
      <c r="O113" s="48">
        <v>6.31</v>
      </c>
      <c r="P113" s="52">
        <v>3520.15</v>
      </c>
      <c r="Q113" s="46">
        <v>2043.4356250000001</v>
      </c>
      <c r="R113" s="52">
        <v>3157.74</v>
      </c>
      <c r="S113" s="46">
        <v>2280.7295239999999</v>
      </c>
      <c r="T113" s="52">
        <v>3539.18</v>
      </c>
      <c r="U113" s="46">
        <v>2526.5569529999998</v>
      </c>
      <c r="V113" s="52">
        <v>3282.73</v>
      </c>
      <c r="W113" s="60">
        <v>-50.52</v>
      </c>
    </row>
    <row r="114" spans="1:23">
      <c r="A114" s="7" t="s">
        <v>108</v>
      </c>
      <c r="B114" s="7" t="s">
        <v>49</v>
      </c>
      <c r="C114" s="7" t="s">
        <v>107</v>
      </c>
      <c r="D114" s="36">
        <v>42</v>
      </c>
      <c r="E114" s="37">
        <v>8</v>
      </c>
      <c r="F114" s="37">
        <v>3</v>
      </c>
      <c r="G114" s="37">
        <v>5</v>
      </c>
      <c r="H114" s="37">
        <v>3</v>
      </c>
      <c r="I114" s="37">
        <v>8</v>
      </c>
      <c r="J114" s="37">
        <v>5</v>
      </c>
      <c r="K114" s="19">
        <v>0.51529999999999998</v>
      </c>
      <c r="L114" s="48">
        <v>3.43</v>
      </c>
      <c r="M114" s="48">
        <v>4.32</v>
      </c>
      <c r="N114" s="48">
        <v>2.72</v>
      </c>
      <c r="O114" s="48">
        <v>4.21</v>
      </c>
      <c r="P114" s="52">
        <v>7566.35</v>
      </c>
      <c r="Q114" s="46">
        <v>2036.866749</v>
      </c>
      <c r="R114" s="52">
        <v>7737.13</v>
      </c>
      <c r="S114" s="46">
        <v>1809.0372480000001</v>
      </c>
      <c r="T114" s="52">
        <v>9594.4</v>
      </c>
      <c r="U114" s="46">
        <v>1651.0114840000001</v>
      </c>
      <c r="V114" s="52">
        <v>8468.24</v>
      </c>
      <c r="W114" s="60">
        <v>-130.55000000000001</v>
      </c>
    </row>
    <row r="115" spans="1:23">
      <c r="A115" s="38" t="s">
        <v>106</v>
      </c>
      <c r="B115" s="38" t="s">
        <v>49</v>
      </c>
      <c r="C115" s="38" t="s">
        <v>107</v>
      </c>
      <c r="D115" s="39">
        <v>43</v>
      </c>
      <c r="E115" s="41">
        <v>9</v>
      </c>
      <c r="F115" s="41">
        <v>8</v>
      </c>
      <c r="G115" s="41">
        <v>3</v>
      </c>
      <c r="H115" s="41">
        <v>3</v>
      </c>
      <c r="I115" s="41">
        <v>6</v>
      </c>
      <c r="J115" s="41">
        <v>5</v>
      </c>
      <c r="K115" s="40">
        <v>0.98099999999999998</v>
      </c>
      <c r="L115" s="48">
        <v>1.75</v>
      </c>
      <c r="M115" s="48">
        <v>2.61</v>
      </c>
      <c r="N115" s="48">
        <v>2.66</v>
      </c>
      <c r="O115" s="48">
        <v>3.51</v>
      </c>
      <c r="P115" s="52">
        <v>11441.87</v>
      </c>
      <c r="Q115" s="46">
        <v>3319.9969959999999</v>
      </c>
      <c r="R115" s="52">
        <v>10946.59</v>
      </c>
      <c r="S115" s="46">
        <v>4177.9848869999996</v>
      </c>
      <c r="T115" s="52">
        <v>10788.85</v>
      </c>
      <c r="U115" s="46">
        <v>4276.4371629999996</v>
      </c>
      <c r="V115" s="52">
        <v>10638.48</v>
      </c>
      <c r="W115" s="60">
        <v>196.29</v>
      </c>
    </row>
    <row r="116" spans="1:23" ht="25">
      <c r="A116" s="7" t="s">
        <v>109</v>
      </c>
      <c r="B116" s="7" t="s">
        <v>49</v>
      </c>
      <c r="C116" s="7" t="s">
        <v>107</v>
      </c>
      <c r="D116" s="36">
        <v>38</v>
      </c>
      <c r="E116" s="37">
        <v>7</v>
      </c>
      <c r="F116" s="37">
        <v>9</v>
      </c>
      <c r="G116" s="37">
        <v>5</v>
      </c>
      <c r="H116" s="37">
        <v>3</v>
      </c>
      <c r="I116" s="37">
        <v>7</v>
      </c>
      <c r="J116" s="37">
        <v>5</v>
      </c>
      <c r="K116" s="19">
        <v>0.5444</v>
      </c>
      <c r="L116" s="48">
        <v>1.93</v>
      </c>
      <c r="M116" s="48">
        <v>2.62</v>
      </c>
      <c r="N116" s="48">
        <v>3.91</v>
      </c>
      <c r="O116" s="48">
        <v>3.01</v>
      </c>
      <c r="P116" s="52">
        <v>793418.23999999999</v>
      </c>
      <c r="Q116" s="46">
        <v>-4199.774238</v>
      </c>
      <c r="R116" s="52">
        <v>774423.18</v>
      </c>
      <c r="S116" s="46">
        <v>37972.588400000001</v>
      </c>
      <c r="T116" s="52">
        <v>726658.54</v>
      </c>
      <c r="U116" s="46">
        <v>17639.54</v>
      </c>
      <c r="V116" s="52">
        <v>660890.5</v>
      </c>
      <c r="W116" s="60">
        <v>18792.009999999998</v>
      </c>
    </row>
    <row r="117" spans="1:23">
      <c r="A117" s="38" t="s">
        <v>110</v>
      </c>
      <c r="B117" s="38" t="s">
        <v>49</v>
      </c>
      <c r="C117" s="38" t="s">
        <v>107</v>
      </c>
      <c r="D117" s="39">
        <v>37</v>
      </c>
      <c r="E117" s="41">
        <v>6</v>
      </c>
      <c r="F117" s="41">
        <v>9</v>
      </c>
      <c r="G117" s="41">
        <v>9</v>
      </c>
      <c r="H117" s="41">
        <v>3</v>
      </c>
      <c r="I117" s="41">
        <v>7</v>
      </c>
      <c r="J117" s="41">
        <v>10</v>
      </c>
      <c r="K117" s="40">
        <v>4.0143000000000004</v>
      </c>
      <c r="L117" s="48">
        <v>5.52</v>
      </c>
      <c r="M117" s="48">
        <v>6.85</v>
      </c>
      <c r="N117" s="48">
        <v>11.24</v>
      </c>
      <c r="O117" s="48">
        <v>12.9</v>
      </c>
      <c r="P117" s="52">
        <v>4471.25</v>
      </c>
      <c r="Q117" s="46">
        <v>3345.7779999999998</v>
      </c>
      <c r="R117" s="52">
        <v>4218.79</v>
      </c>
      <c r="S117" s="46">
        <v>3073.31</v>
      </c>
      <c r="T117" s="52">
        <v>2166.64</v>
      </c>
      <c r="U117" s="46">
        <v>1412.6120000000001</v>
      </c>
      <c r="V117" s="52">
        <v>1796.6</v>
      </c>
      <c r="W117" s="60">
        <v>43.71</v>
      </c>
    </row>
    <row r="118" spans="1:23">
      <c r="A118" s="7" t="s">
        <v>116</v>
      </c>
      <c r="B118" s="7" t="s">
        <v>49</v>
      </c>
      <c r="C118" s="7" t="s">
        <v>107</v>
      </c>
      <c r="D118" s="36">
        <v>32</v>
      </c>
      <c r="E118" s="37">
        <v>4</v>
      </c>
      <c r="F118" s="37">
        <v>10</v>
      </c>
      <c r="G118" s="37">
        <v>3</v>
      </c>
      <c r="H118" s="37">
        <v>9</v>
      </c>
      <c r="I118" s="37">
        <v>7</v>
      </c>
      <c r="J118" s="37">
        <v>3</v>
      </c>
      <c r="K118" s="19">
        <v>0.53680000000000005</v>
      </c>
      <c r="L118" s="48">
        <v>3.33</v>
      </c>
      <c r="M118" s="48">
        <v>6.54</v>
      </c>
      <c r="N118" s="48">
        <v>8.0500000000000007</v>
      </c>
      <c r="O118" s="48">
        <v>7.94</v>
      </c>
      <c r="P118" s="52">
        <v>15531.58</v>
      </c>
      <c r="Q118" s="46">
        <v>485.21399200000002</v>
      </c>
      <c r="R118" s="52">
        <v>18183.97</v>
      </c>
      <c r="S118" s="46">
        <v>561.55994899999996</v>
      </c>
      <c r="T118" s="52">
        <v>19021.96</v>
      </c>
      <c r="U118" s="46">
        <v>402.00245799999999</v>
      </c>
      <c r="V118" s="52">
        <v>17546.169999999998</v>
      </c>
      <c r="W118" s="60">
        <v>596.16999999999996</v>
      </c>
    </row>
    <row r="119" spans="1:23">
      <c r="A119" s="38" t="s">
        <v>113</v>
      </c>
      <c r="B119" s="38" t="s">
        <v>49</v>
      </c>
      <c r="C119" s="38" t="s">
        <v>107</v>
      </c>
      <c r="D119" s="39">
        <v>35</v>
      </c>
      <c r="E119" s="41">
        <v>8</v>
      </c>
      <c r="F119" s="41">
        <v>5</v>
      </c>
      <c r="G119" s="41">
        <v>3</v>
      </c>
      <c r="H119" s="41">
        <v>8</v>
      </c>
      <c r="I119" s="41">
        <v>7</v>
      </c>
      <c r="J119" s="41">
        <v>3</v>
      </c>
      <c r="K119" s="40">
        <v>0.70979999999999999</v>
      </c>
      <c r="L119" s="48">
        <v>1.72</v>
      </c>
      <c r="M119" s="48">
        <v>4.57</v>
      </c>
      <c r="N119" s="48">
        <v>4.2699999999999996</v>
      </c>
      <c r="O119" s="48">
        <v>4.93</v>
      </c>
      <c r="P119" s="52">
        <v>179785.88</v>
      </c>
      <c r="Q119" s="46">
        <v>5121.3727369999997</v>
      </c>
      <c r="R119" s="52">
        <v>199224.29</v>
      </c>
      <c r="S119" s="46">
        <v>5944.0945979999997</v>
      </c>
      <c r="T119" s="52">
        <v>226383.2</v>
      </c>
      <c r="U119" s="46">
        <v>4469.4748710000003</v>
      </c>
      <c r="V119" s="52">
        <v>224917.81</v>
      </c>
      <c r="W119" s="60">
        <v>111.17</v>
      </c>
    </row>
    <row r="120" spans="1:23"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63"/>
    </row>
    <row r="121" spans="1:23"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63"/>
    </row>
    <row r="122" spans="1:23"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63"/>
    </row>
    <row r="123" spans="1:23"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63"/>
    </row>
    <row r="124" spans="1:23"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63"/>
    </row>
    <row r="125" spans="1:23"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63"/>
    </row>
    <row r="126" spans="1:23"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63"/>
    </row>
    <row r="127" spans="1:23"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63"/>
    </row>
    <row r="128" spans="1:23"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63"/>
    </row>
    <row r="129" spans="12:23"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63"/>
    </row>
    <row r="130" spans="12:23"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63"/>
    </row>
    <row r="131" spans="12:23" ht="16.5">
      <c r="L131" s="46"/>
      <c r="M131" s="46"/>
      <c r="N131" s="46"/>
      <c r="O131" s="46"/>
      <c r="P131" s="56"/>
      <c r="Q131" s="46"/>
      <c r="R131" s="55"/>
      <c r="S131" s="46"/>
      <c r="T131" s="46"/>
      <c r="U131" s="46"/>
      <c r="V131" s="46"/>
      <c r="W131" s="63"/>
    </row>
    <row r="132" spans="12:23"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63"/>
    </row>
    <row r="133" spans="12:23"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63"/>
    </row>
  </sheetData>
  <autoFilter ref="A1:A135" xr:uid="{EC3674BB-C811-42F9-B656-3368DBDFD822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9242-4E87-43E4-93BF-9E3BCE9BE05E}">
  <dimension ref="A1:AM133"/>
  <sheetViews>
    <sheetView zoomScale="55" zoomScaleNormal="55" workbookViewId="0">
      <pane xSplit="1" ySplit="1" topLeftCell="B2" activePane="bottomRight" state="frozen"/>
      <selection pane="topRight"/>
      <selection pane="bottomLeft"/>
      <selection pane="bottomRight" activeCell="AM1" sqref="AM1"/>
    </sheetView>
  </sheetViews>
  <sheetFormatPr defaultRowHeight="14.5"/>
  <cols>
    <col min="1" max="1" width="11" customWidth="1"/>
    <col min="2" max="2" width="26" customWidth="1"/>
    <col min="3" max="3" width="10.36328125" bestFit="1" customWidth="1"/>
    <col min="4" max="4" width="14.08984375" hidden="1" customWidth="1"/>
    <col min="5" max="11" width="8" hidden="1" customWidth="1"/>
    <col min="12" max="12" width="9" customWidth="1"/>
  </cols>
  <sheetData>
    <row r="1" spans="1:39" ht="32" customHeight="1">
      <c r="A1" s="1" t="s">
        <v>83</v>
      </c>
      <c r="B1" s="1" t="s">
        <v>21</v>
      </c>
      <c r="C1" s="1" t="s">
        <v>84</v>
      </c>
      <c r="D1" s="1" t="s">
        <v>85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51" t="s">
        <v>247</v>
      </c>
      <c r="M1" s="47" t="s">
        <v>262</v>
      </c>
      <c r="N1" s="47" t="s">
        <v>263</v>
      </c>
      <c r="O1" s="47" t="s">
        <v>264</v>
      </c>
      <c r="P1" s="47" t="s">
        <v>265</v>
      </c>
      <c r="Q1" s="47" t="s">
        <v>266</v>
      </c>
      <c r="R1" s="47" t="s">
        <v>267</v>
      </c>
      <c r="S1" s="47" t="s">
        <v>268</v>
      </c>
      <c r="T1" s="47" t="s">
        <v>269</v>
      </c>
      <c r="U1" s="47" t="s">
        <v>270</v>
      </c>
      <c r="V1" s="47" t="s">
        <v>271</v>
      </c>
      <c r="W1" s="47" t="s">
        <v>272</v>
      </c>
      <c r="X1" s="47" t="s">
        <v>273</v>
      </c>
      <c r="Y1" s="47" t="s">
        <v>274</v>
      </c>
      <c r="Z1" s="47" t="s">
        <v>275</v>
      </c>
      <c r="AA1" s="47" t="s">
        <v>276</v>
      </c>
      <c r="AB1" s="47" t="s">
        <v>277</v>
      </c>
      <c r="AC1" s="47" t="s">
        <v>278</v>
      </c>
      <c r="AD1" s="47" t="s">
        <v>279</v>
      </c>
      <c r="AE1" s="47" t="s">
        <v>280</v>
      </c>
      <c r="AF1" s="47" t="s">
        <v>281</v>
      </c>
      <c r="AG1" s="47" t="s">
        <v>282</v>
      </c>
      <c r="AH1" s="47" t="s">
        <v>283</v>
      </c>
      <c r="AI1" s="47" t="s">
        <v>284</v>
      </c>
      <c r="AJ1" s="47" t="s">
        <v>285</v>
      </c>
      <c r="AK1" s="47" t="s">
        <v>286</v>
      </c>
      <c r="AL1" s="47" t="s">
        <v>287</v>
      </c>
      <c r="AM1" s="47" t="s">
        <v>288</v>
      </c>
    </row>
    <row r="2" spans="1:39">
      <c r="A2" s="7" t="s">
        <v>210</v>
      </c>
      <c r="B2" s="7" t="s">
        <v>48</v>
      </c>
      <c r="C2" s="7" t="s">
        <v>207</v>
      </c>
      <c r="D2" s="36">
        <v>55</v>
      </c>
      <c r="E2" s="37">
        <v>10</v>
      </c>
      <c r="F2" s="37">
        <v>5</v>
      </c>
      <c r="G2" s="37">
        <v>8</v>
      </c>
      <c r="H2" s="37">
        <v>5</v>
      </c>
      <c r="I2" s="37">
        <v>7</v>
      </c>
      <c r="J2" s="37">
        <v>9</v>
      </c>
      <c r="K2" s="19">
        <v>0.60399999999999998</v>
      </c>
      <c r="L2" s="52">
        <v>18563.810000000001</v>
      </c>
      <c r="M2" s="52">
        <v>2044.47</v>
      </c>
      <c r="N2" s="48">
        <v>1.63</v>
      </c>
      <c r="O2" s="52">
        <v>23414.78</v>
      </c>
      <c r="P2" s="52">
        <v>6808.65</v>
      </c>
      <c r="Q2" s="52">
        <v>16479.53</v>
      </c>
      <c r="R2" s="48">
        <v>12.8</v>
      </c>
      <c r="S2" s="52">
        <v>19311.169999999998</v>
      </c>
      <c r="T2" s="52">
        <v>1376.57</v>
      </c>
      <c r="U2" s="48">
        <v>1.1000000000000001</v>
      </c>
      <c r="V2" s="52">
        <v>25332.95</v>
      </c>
      <c r="W2" s="52">
        <v>7594.86</v>
      </c>
      <c r="X2" s="52">
        <v>17605.419999999998</v>
      </c>
      <c r="Y2" s="48">
        <v>11.5</v>
      </c>
      <c r="Z2" s="52">
        <v>19656.47</v>
      </c>
      <c r="AA2" s="52">
        <v>1973.82</v>
      </c>
      <c r="AB2" s="48">
        <v>1.57</v>
      </c>
      <c r="AC2" s="52">
        <v>26316.61</v>
      </c>
      <c r="AD2" s="52">
        <v>6823.88</v>
      </c>
      <c r="AE2" s="52">
        <v>19347.22</v>
      </c>
      <c r="AF2" s="48">
        <v>9.5500000000000007</v>
      </c>
      <c r="AG2" s="52">
        <v>19205.5</v>
      </c>
      <c r="AH2" s="52">
        <v>2439.4</v>
      </c>
      <c r="AI2" s="48">
        <v>1.95</v>
      </c>
      <c r="AJ2" s="52">
        <v>27863.39</v>
      </c>
      <c r="AK2" s="52">
        <v>6167.32</v>
      </c>
      <c r="AL2" s="52">
        <v>21535.9</v>
      </c>
      <c r="AM2" s="48">
        <v>10.6</v>
      </c>
    </row>
    <row r="3" spans="1:39">
      <c r="A3" s="38" t="s">
        <v>222</v>
      </c>
      <c r="B3" s="38" t="s">
        <v>48</v>
      </c>
      <c r="C3" s="38" t="s">
        <v>207</v>
      </c>
      <c r="D3" s="39">
        <v>36</v>
      </c>
      <c r="E3" s="41">
        <v>2</v>
      </c>
      <c r="F3" s="41">
        <v>3</v>
      </c>
      <c r="G3" s="41">
        <v>5</v>
      </c>
      <c r="H3" s="41">
        <v>3</v>
      </c>
      <c r="I3" s="41">
        <v>4</v>
      </c>
      <c r="J3" s="41">
        <v>5</v>
      </c>
      <c r="K3" s="40">
        <v>-0.67190000000000005</v>
      </c>
      <c r="L3" s="52">
        <v>111140.66</v>
      </c>
      <c r="M3" s="52">
        <v>4794.87</v>
      </c>
      <c r="N3" s="48">
        <v>3.12</v>
      </c>
      <c r="O3" s="52">
        <v>117083.77</v>
      </c>
      <c r="P3" s="52">
        <v>47897.47</v>
      </c>
      <c r="Q3" s="52">
        <v>51388.34</v>
      </c>
      <c r="R3" s="48">
        <v>21.1</v>
      </c>
      <c r="S3" s="52">
        <v>85140.6</v>
      </c>
      <c r="T3" s="48">
        <v>-434.37</v>
      </c>
      <c r="U3" s="48">
        <v>-0.28000000000000003</v>
      </c>
      <c r="V3" s="52">
        <v>111737.5</v>
      </c>
      <c r="W3" s="52">
        <v>43591.22</v>
      </c>
      <c r="X3" s="52">
        <v>50340.2</v>
      </c>
      <c r="Y3" s="48">
        <v>16.100000000000001</v>
      </c>
      <c r="Z3" s="52">
        <v>115487.86</v>
      </c>
      <c r="AA3" s="52">
        <v>1670.38</v>
      </c>
      <c r="AB3" s="48">
        <v>1.0900000000000001</v>
      </c>
      <c r="AC3" s="52">
        <v>131207.76</v>
      </c>
      <c r="AD3" s="52">
        <v>61512.52</v>
      </c>
      <c r="AE3" s="52">
        <v>51087.32</v>
      </c>
      <c r="AF3" s="48">
        <v>18.100000000000001</v>
      </c>
      <c r="AG3" s="52">
        <v>114039.58</v>
      </c>
      <c r="AH3" s="52">
        <v>-1265.71</v>
      </c>
      <c r="AI3" s="48">
        <v>-0.82</v>
      </c>
      <c r="AJ3" s="52">
        <v>113764.78</v>
      </c>
      <c r="AK3" s="52">
        <v>47559.44</v>
      </c>
      <c r="AL3" s="52">
        <v>48211.25</v>
      </c>
      <c r="AM3" s="48">
        <v>12.2</v>
      </c>
    </row>
    <row r="4" spans="1:39">
      <c r="A4" s="7" t="s">
        <v>206</v>
      </c>
      <c r="B4" s="7" t="s">
        <v>48</v>
      </c>
      <c r="C4" s="7" t="s">
        <v>207</v>
      </c>
      <c r="D4" s="36">
        <v>58</v>
      </c>
      <c r="E4" s="37">
        <v>10</v>
      </c>
      <c r="F4" s="37">
        <v>5</v>
      </c>
      <c r="G4" s="37">
        <v>7</v>
      </c>
      <c r="H4" s="37">
        <v>3</v>
      </c>
      <c r="I4" s="37">
        <v>10</v>
      </c>
      <c r="J4" s="37">
        <v>10</v>
      </c>
      <c r="K4" s="19">
        <v>1.2719</v>
      </c>
      <c r="L4" s="53">
        <v>18610.080000000002</v>
      </c>
      <c r="M4" s="53">
        <v>1429.76</v>
      </c>
      <c r="N4" s="49">
        <v>1.52</v>
      </c>
      <c r="O4" s="53">
        <v>5271.09</v>
      </c>
      <c r="P4" s="49">
        <v>649.37</v>
      </c>
      <c r="Q4" s="53">
        <v>4384.59</v>
      </c>
      <c r="R4" s="49">
        <v>4.74</v>
      </c>
      <c r="S4" s="53">
        <v>14201.61</v>
      </c>
      <c r="T4" s="49">
        <v>936</v>
      </c>
      <c r="U4" s="49">
        <v>1</v>
      </c>
      <c r="V4" s="53">
        <v>5154.2299999999996</v>
      </c>
      <c r="W4" s="49">
        <v>526.28</v>
      </c>
      <c r="X4" s="53">
        <v>3178.89</v>
      </c>
      <c r="Y4" s="49">
        <v>2.8</v>
      </c>
      <c r="Z4" s="53">
        <v>13582.19</v>
      </c>
      <c r="AA4" s="53">
        <v>1268.8399999999999</v>
      </c>
      <c r="AB4" s="49">
        <v>1.35</v>
      </c>
      <c r="AC4" s="53">
        <v>5620.76</v>
      </c>
      <c r="AD4" s="49">
        <v>568.63</v>
      </c>
      <c r="AE4" s="53">
        <v>3631</v>
      </c>
      <c r="AF4" s="49">
        <v>3.58</v>
      </c>
      <c r="AG4" s="53">
        <v>16487.45</v>
      </c>
      <c r="AH4" s="53">
        <v>1758.19</v>
      </c>
      <c r="AI4" s="49">
        <v>1.87</v>
      </c>
      <c r="AJ4" s="53">
        <v>6523.92</v>
      </c>
      <c r="AK4" s="49">
        <v>610.08000000000004</v>
      </c>
      <c r="AL4" s="53">
        <v>3926.84</v>
      </c>
      <c r="AM4" s="49">
        <v>3</v>
      </c>
    </row>
    <row r="5" spans="1:39">
      <c r="A5" s="38" t="s">
        <v>213</v>
      </c>
      <c r="B5" s="38" t="s">
        <v>48</v>
      </c>
      <c r="C5" s="38" t="s">
        <v>207</v>
      </c>
      <c r="D5" s="39">
        <v>50</v>
      </c>
      <c r="E5" s="41">
        <v>7</v>
      </c>
      <c r="F5" s="41">
        <v>3</v>
      </c>
      <c r="G5" s="41">
        <v>9</v>
      </c>
      <c r="H5" s="41">
        <v>3</v>
      </c>
      <c r="I5" s="41">
        <v>8</v>
      </c>
      <c r="J5" s="41">
        <v>10</v>
      </c>
      <c r="K5" s="40">
        <v>1.2699</v>
      </c>
      <c r="L5" s="52">
        <v>2349.6</v>
      </c>
      <c r="M5" s="48">
        <v>317.27999999999997</v>
      </c>
      <c r="N5" s="48">
        <v>0.98</v>
      </c>
      <c r="O5" s="52">
        <v>1765.19</v>
      </c>
      <c r="P5" s="48">
        <v>232.76</v>
      </c>
      <c r="Q5" s="52">
        <v>1532.43</v>
      </c>
      <c r="R5" s="48">
        <v>6.6</v>
      </c>
      <c r="S5" s="52">
        <v>1539.27</v>
      </c>
      <c r="T5" s="48">
        <v>203.51</v>
      </c>
      <c r="U5" s="48">
        <v>0.63</v>
      </c>
      <c r="V5" s="52">
        <v>1842.73</v>
      </c>
      <c r="W5" s="48">
        <v>257.22000000000003</v>
      </c>
      <c r="X5" s="52">
        <v>1585.51</v>
      </c>
      <c r="Y5" s="48">
        <v>6.25</v>
      </c>
      <c r="Z5" s="52">
        <v>1784.65</v>
      </c>
      <c r="AA5" s="48">
        <v>162.82</v>
      </c>
      <c r="AB5" s="48">
        <v>0.5</v>
      </c>
      <c r="AC5" s="52">
        <v>1774.56</v>
      </c>
      <c r="AD5" s="48">
        <v>123.42</v>
      </c>
      <c r="AE5" s="52">
        <v>1651.13</v>
      </c>
      <c r="AF5" s="48">
        <v>6.25</v>
      </c>
      <c r="AG5" s="52">
        <v>1947.04</v>
      </c>
      <c r="AH5" s="48">
        <v>218.9</v>
      </c>
      <c r="AI5" s="48">
        <v>0.68</v>
      </c>
      <c r="AJ5" s="52">
        <v>1989.52</v>
      </c>
      <c r="AK5" s="48">
        <v>226.41</v>
      </c>
      <c r="AL5" s="52">
        <v>1763.11</v>
      </c>
      <c r="AM5" s="48">
        <v>6.55</v>
      </c>
    </row>
    <row r="6" spans="1:39">
      <c r="A6" s="7" t="s">
        <v>208</v>
      </c>
      <c r="B6" s="7" t="s">
        <v>48</v>
      </c>
      <c r="C6" s="7" t="s">
        <v>207</v>
      </c>
      <c r="D6" s="36">
        <v>58</v>
      </c>
      <c r="E6" s="37">
        <v>2</v>
      </c>
      <c r="F6" s="37">
        <v>3</v>
      </c>
      <c r="G6" s="37">
        <v>9</v>
      </c>
      <c r="H6" s="37">
        <v>10</v>
      </c>
      <c r="I6" s="37">
        <v>4</v>
      </c>
      <c r="J6" s="37">
        <v>10</v>
      </c>
      <c r="K6" s="19">
        <v>0.71689999999999998</v>
      </c>
      <c r="L6" s="52">
        <v>3385.29</v>
      </c>
      <c r="M6" s="48">
        <v>29.65</v>
      </c>
      <c r="N6" s="48">
        <v>0.03</v>
      </c>
      <c r="O6" s="52">
        <v>3051.44</v>
      </c>
      <c r="P6" s="48">
        <v>339.22</v>
      </c>
      <c r="Q6" s="52">
        <v>2683.33</v>
      </c>
      <c r="R6" s="48">
        <v>2.4</v>
      </c>
      <c r="S6" s="52">
        <v>2984.09</v>
      </c>
      <c r="T6" s="48">
        <v>86.98</v>
      </c>
      <c r="U6" s="48">
        <v>0.09</v>
      </c>
      <c r="V6" s="52">
        <v>3092.43</v>
      </c>
      <c r="W6" s="48">
        <v>342.07</v>
      </c>
      <c r="X6" s="52">
        <v>2721.97</v>
      </c>
      <c r="Y6" s="48">
        <v>2.2599999999999998</v>
      </c>
      <c r="Z6" s="52">
        <v>2865.29</v>
      </c>
      <c r="AA6" s="48">
        <v>145.71</v>
      </c>
      <c r="AB6" s="48">
        <v>0.16</v>
      </c>
      <c r="AC6" s="52">
        <v>3103.7</v>
      </c>
      <c r="AD6" s="48">
        <v>322.13</v>
      </c>
      <c r="AE6" s="52">
        <v>2752.98</v>
      </c>
      <c r="AF6" s="48">
        <v>2.34</v>
      </c>
      <c r="AG6" s="52">
        <v>2939.9</v>
      </c>
      <c r="AH6" s="48">
        <v>262.47000000000003</v>
      </c>
      <c r="AI6" s="48">
        <v>0.28999999999999998</v>
      </c>
      <c r="AJ6" s="52">
        <v>3262.99</v>
      </c>
      <c r="AK6" s="48">
        <v>345.88</v>
      </c>
      <c r="AL6" s="52">
        <v>2887.83</v>
      </c>
      <c r="AM6" s="48">
        <v>2.6</v>
      </c>
    </row>
    <row r="7" spans="1:39">
      <c r="A7" s="38" t="s">
        <v>209</v>
      </c>
      <c r="B7" s="38" t="s">
        <v>48</v>
      </c>
      <c r="C7" s="38" t="s">
        <v>207</v>
      </c>
      <c r="D7" s="39">
        <v>57</v>
      </c>
      <c r="E7" s="41">
        <v>8</v>
      </c>
      <c r="F7" s="41">
        <v>3</v>
      </c>
      <c r="G7" s="41">
        <v>7</v>
      </c>
      <c r="H7" s="41">
        <v>10</v>
      </c>
      <c r="I7" s="41">
        <v>7</v>
      </c>
      <c r="J7" s="41">
        <v>9</v>
      </c>
      <c r="K7" s="40">
        <v>0.80430000000000001</v>
      </c>
      <c r="L7" s="53">
        <v>4959.45</v>
      </c>
      <c r="M7" s="49">
        <v>109.54</v>
      </c>
      <c r="N7" s="49">
        <v>0.22</v>
      </c>
      <c r="O7" s="53">
        <v>3201.92</v>
      </c>
      <c r="P7" s="49">
        <v>757.91</v>
      </c>
      <c r="Q7" s="53">
        <v>2193.36</v>
      </c>
      <c r="R7" s="49">
        <v>9.9</v>
      </c>
      <c r="S7" s="53">
        <v>5142.7700000000004</v>
      </c>
      <c r="T7" s="49">
        <v>87.37</v>
      </c>
      <c r="U7" s="49">
        <v>0.17</v>
      </c>
      <c r="V7" s="53">
        <v>3320.7</v>
      </c>
      <c r="W7" s="49">
        <v>868.96</v>
      </c>
      <c r="X7" s="53">
        <v>2227.91</v>
      </c>
      <c r="Y7" s="49">
        <v>6.3</v>
      </c>
      <c r="Z7" s="53">
        <v>5430.34</v>
      </c>
      <c r="AA7" s="49">
        <v>535.39</v>
      </c>
      <c r="AB7" s="49">
        <v>1.07</v>
      </c>
      <c r="AC7" s="53">
        <v>3855.71</v>
      </c>
      <c r="AD7" s="53">
        <v>1125.1500000000001</v>
      </c>
      <c r="AE7" s="53">
        <v>2519.1999999999998</v>
      </c>
      <c r="AF7" s="49">
        <v>7.7</v>
      </c>
      <c r="AG7" s="53">
        <v>6094.89</v>
      </c>
      <c r="AH7" s="49">
        <v>733.19</v>
      </c>
      <c r="AI7" s="49">
        <v>0.73</v>
      </c>
      <c r="AJ7" s="53">
        <v>3829.6</v>
      </c>
      <c r="AK7" s="53">
        <v>1129.92</v>
      </c>
      <c r="AL7" s="53">
        <v>2537.36</v>
      </c>
      <c r="AM7" s="49">
        <v>5.95</v>
      </c>
    </row>
    <row r="8" spans="1:39">
      <c r="A8" s="7" t="s">
        <v>219</v>
      </c>
      <c r="B8" s="7" t="s">
        <v>48</v>
      </c>
      <c r="C8" s="7" t="s">
        <v>207</v>
      </c>
      <c r="D8" s="36">
        <v>48</v>
      </c>
      <c r="E8" s="37">
        <v>9</v>
      </c>
      <c r="F8" s="37">
        <v>3</v>
      </c>
      <c r="G8" s="37">
        <v>5</v>
      </c>
      <c r="H8" s="37">
        <v>5</v>
      </c>
      <c r="I8" s="37">
        <v>10</v>
      </c>
      <c r="J8" s="37">
        <v>5</v>
      </c>
      <c r="K8" s="19">
        <v>0.1903</v>
      </c>
      <c r="L8" s="52">
        <v>25202.71</v>
      </c>
      <c r="M8" s="52">
        <v>1748</v>
      </c>
      <c r="N8" s="48">
        <v>0.96</v>
      </c>
      <c r="O8" s="52">
        <v>16306.54</v>
      </c>
      <c r="P8" s="52">
        <v>9718.7099999999991</v>
      </c>
      <c r="Q8" s="52">
        <v>6587.83</v>
      </c>
      <c r="R8" s="48">
        <v>6.35</v>
      </c>
      <c r="S8" s="52">
        <v>25057.1</v>
      </c>
      <c r="T8" s="52">
        <v>1545.6</v>
      </c>
      <c r="U8" s="48">
        <v>0.84</v>
      </c>
      <c r="V8" s="52">
        <v>16839.11</v>
      </c>
      <c r="W8" s="52">
        <v>9370.52</v>
      </c>
      <c r="X8" s="52">
        <v>7468.6</v>
      </c>
      <c r="Y8" s="48">
        <v>4.96</v>
      </c>
      <c r="Z8" s="52">
        <v>27496.16</v>
      </c>
      <c r="AA8" s="52">
        <v>1652.47</v>
      </c>
      <c r="AB8" s="48">
        <v>0.89</v>
      </c>
      <c r="AC8" s="52">
        <v>19457.240000000002</v>
      </c>
      <c r="AD8" s="52">
        <v>10969.27</v>
      </c>
      <c r="AE8" s="52">
        <v>8487.9699999999993</v>
      </c>
      <c r="AF8" s="48">
        <v>4.62</v>
      </c>
      <c r="AG8" s="52">
        <v>30510.2</v>
      </c>
      <c r="AH8" s="52">
        <v>1884.53</v>
      </c>
      <c r="AI8" s="48">
        <v>1.02</v>
      </c>
      <c r="AJ8" s="52">
        <v>20004.79</v>
      </c>
      <c r="AK8" s="52">
        <v>10297.5</v>
      </c>
      <c r="AL8" s="52">
        <v>9707.2900000000009</v>
      </c>
      <c r="AM8" s="48">
        <v>4.4800000000000004</v>
      </c>
    </row>
    <row r="9" spans="1:39">
      <c r="A9" s="38" t="s">
        <v>214</v>
      </c>
      <c r="B9" s="38" t="s">
        <v>48</v>
      </c>
      <c r="C9" s="38" t="s">
        <v>212</v>
      </c>
      <c r="D9" s="39">
        <v>50</v>
      </c>
      <c r="E9" s="41">
        <v>8</v>
      </c>
      <c r="F9" s="41">
        <v>5</v>
      </c>
      <c r="G9" s="41">
        <v>5</v>
      </c>
      <c r="H9" s="41">
        <v>8</v>
      </c>
      <c r="I9" s="41">
        <v>6</v>
      </c>
      <c r="J9" s="41">
        <v>5</v>
      </c>
      <c r="K9" s="40">
        <v>0.59340000000000004</v>
      </c>
      <c r="L9" s="53">
        <v>3216.37</v>
      </c>
      <c r="M9" s="49">
        <v>101.48</v>
      </c>
      <c r="N9" s="49">
        <v>0.31</v>
      </c>
      <c r="O9" s="53">
        <v>3098.59</v>
      </c>
      <c r="P9" s="53">
        <v>1822.95</v>
      </c>
      <c r="Q9" s="53">
        <v>1277.82</v>
      </c>
      <c r="R9" s="49">
        <v>5.8</v>
      </c>
      <c r="S9" s="53">
        <v>3133.23</v>
      </c>
      <c r="T9" s="49">
        <v>54.67</v>
      </c>
      <c r="U9" s="49">
        <v>0.17</v>
      </c>
      <c r="V9" s="53">
        <v>2977.91</v>
      </c>
      <c r="W9" s="53">
        <v>1667.92</v>
      </c>
      <c r="X9" s="53">
        <v>1299.6099999999999</v>
      </c>
      <c r="Y9" s="49">
        <v>4.3</v>
      </c>
      <c r="Z9" s="53">
        <v>3379.51</v>
      </c>
      <c r="AA9" s="49">
        <v>133.44999999999999</v>
      </c>
      <c r="AB9" s="49">
        <v>0.41</v>
      </c>
      <c r="AC9" s="53">
        <v>3261.61</v>
      </c>
      <c r="AD9" s="53">
        <v>1859.22</v>
      </c>
      <c r="AE9" s="53">
        <v>1359.23</v>
      </c>
      <c r="AF9" s="49">
        <v>4.28</v>
      </c>
      <c r="AG9" s="53">
        <v>3548.17</v>
      </c>
      <c r="AH9" s="49">
        <v>135.24</v>
      </c>
      <c r="AI9" s="49">
        <v>0.43</v>
      </c>
      <c r="AJ9" s="53">
        <v>3383.1</v>
      </c>
      <c r="AK9" s="53">
        <v>2006.05</v>
      </c>
      <c r="AL9" s="53">
        <v>1358.23</v>
      </c>
      <c r="AM9" s="49">
        <v>3.6</v>
      </c>
    </row>
    <row r="10" spans="1:39">
      <c r="A10" s="7" t="s">
        <v>215</v>
      </c>
      <c r="B10" s="7" t="s">
        <v>48</v>
      </c>
      <c r="C10" s="7" t="s">
        <v>212</v>
      </c>
      <c r="D10" s="36">
        <v>50</v>
      </c>
      <c r="E10" s="37">
        <v>4</v>
      </c>
      <c r="F10" s="37">
        <v>10</v>
      </c>
      <c r="G10" s="37">
        <v>9</v>
      </c>
      <c r="H10" s="37">
        <v>10</v>
      </c>
      <c r="I10" s="37">
        <v>9</v>
      </c>
      <c r="J10" s="37">
        <v>9</v>
      </c>
      <c r="K10" s="19">
        <v>1.0596000000000001</v>
      </c>
      <c r="L10" s="53">
        <v>6359.6</v>
      </c>
      <c r="M10" s="49">
        <v>641.64</v>
      </c>
      <c r="N10" s="49">
        <v>0.49</v>
      </c>
      <c r="O10" s="53">
        <v>7385.71</v>
      </c>
      <c r="P10" s="53">
        <v>1215.69</v>
      </c>
      <c r="Q10" s="53">
        <v>6170.02</v>
      </c>
      <c r="R10" s="49">
        <v>11.3</v>
      </c>
      <c r="S10" s="53">
        <v>8085.04</v>
      </c>
      <c r="T10" s="53">
        <v>1100.42</v>
      </c>
      <c r="U10" s="49">
        <v>0.85</v>
      </c>
      <c r="V10" s="53">
        <v>7205.19</v>
      </c>
      <c r="W10" s="53">
        <v>1363.68</v>
      </c>
      <c r="X10" s="53">
        <v>5841.51</v>
      </c>
      <c r="Y10" s="49">
        <v>15.7</v>
      </c>
      <c r="Z10" s="53">
        <v>8671.14</v>
      </c>
      <c r="AA10" s="53">
        <v>1306.26</v>
      </c>
      <c r="AB10" s="49">
        <v>1</v>
      </c>
      <c r="AC10" s="53">
        <v>7081.39</v>
      </c>
      <c r="AD10" s="53">
        <v>1370.24</v>
      </c>
      <c r="AE10" s="53">
        <v>5711.15</v>
      </c>
      <c r="AF10" s="49">
        <v>14.7</v>
      </c>
      <c r="AG10" s="53">
        <v>8239.86</v>
      </c>
      <c r="AH10" s="53">
        <v>1327.63</v>
      </c>
      <c r="AI10" s="49">
        <v>1.02</v>
      </c>
      <c r="AJ10" s="53">
        <v>6790.53</v>
      </c>
      <c r="AK10" s="53">
        <v>1137.8</v>
      </c>
      <c r="AL10" s="53">
        <v>5652.74</v>
      </c>
      <c r="AM10" s="49">
        <v>13.4</v>
      </c>
    </row>
    <row r="11" spans="1:39">
      <c r="A11" s="38" t="s">
        <v>221</v>
      </c>
      <c r="B11" s="38" t="s">
        <v>48</v>
      </c>
      <c r="C11" s="38" t="s">
        <v>212</v>
      </c>
      <c r="D11" s="39">
        <v>39</v>
      </c>
      <c r="E11" s="41">
        <v>2</v>
      </c>
      <c r="F11" s="41">
        <v>3</v>
      </c>
      <c r="G11" s="41">
        <v>7</v>
      </c>
      <c r="H11" s="41">
        <v>3</v>
      </c>
      <c r="I11" s="41">
        <v>4</v>
      </c>
      <c r="J11" s="41">
        <v>8</v>
      </c>
      <c r="K11" s="40">
        <v>0.22320000000000001</v>
      </c>
      <c r="L11" s="53">
        <v>2988.49</v>
      </c>
      <c r="M11" s="49">
        <v>279.82</v>
      </c>
      <c r="N11" s="49">
        <v>0.57999999999999996</v>
      </c>
      <c r="O11" s="53">
        <v>6539.58</v>
      </c>
      <c r="P11" s="53">
        <v>2179</v>
      </c>
      <c r="Q11" s="53">
        <v>4360.59</v>
      </c>
      <c r="R11" s="49">
        <v>9</v>
      </c>
      <c r="S11" s="53">
        <v>2645.63</v>
      </c>
      <c r="T11" s="49">
        <v>245.75</v>
      </c>
      <c r="U11" s="49">
        <v>0.51</v>
      </c>
      <c r="V11" s="53">
        <v>6370.02</v>
      </c>
      <c r="W11" s="53">
        <v>2204.4</v>
      </c>
      <c r="X11" s="53">
        <v>4165.62</v>
      </c>
      <c r="Y11" s="49">
        <v>9.0500000000000007</v>
      </c>
      <c r="Z11" s="53">
        <v>2040.74</v>
      </c>
      <c r="AA11" s="49">
        <v>-92.1</v>
      </c>
      <c r="AB11" s="49">
        <v>-0.19</v>
      </c>
      <c r="AC11" s="53">
        <v>5903.84</v>
      </c>
      <c r="AD11" s="53">
        <v>2197.59</v>
      </c>
      <c r="AE11" s="53">
        <v>3706.26</v>
      </c>
      <c r="AF11" s="49">
        <v>10.1</v>
      </c>
      <c r="AG11" s="53">
        <v>1997.74</v>
      </c>
      <c r="AH11" s="49">
        <v>233.85</v>
      </c>
      <c r="AI11" s="49">
        <v>0.48</v>
      </c>
      <c r="AJ11" s="53">
        <v>5418.47</v>
      </c>
      <c r="AK11" s="53">
        <v>1711.94</v>
      </c>
      <c r="AL11" s="53">
        <v>3706.52</v>
      </c>
      <c r="AM11" s="49">
        <v>7.6</v>
      </c>
    </row>
    <row r="12" spans="1:39">
      <c r="A12" s="7" t="s">
        <v>216</v>
      </c>
      <c r="B12" s="7" t="s">
        <v>48</v>
      </c>
      <c r="C12" s="7" t="s">
        <v>212</v>
      </c>
      <c r="D12" s="36">
        <v>50</v>
      </c>
      <c r="E12" s="37">
        <v>4</v>
      </c>
      <c r="F12" s="37">
        <v>3</v>
      </c>
      <c r="G12" s="37">
        <v>7</v>
      </c>
      <c r="H12" s="37">
        <v>5</v>
      </c>
      <c r="I12" s="37">
        <v>8</v>
      </c>
      <c r="J12" s="37">
        <v>8</v>
      </c>
      <c r="K12" s="19">
        <v>1.2831999999999999</v>
      </c>
      <c r="L12" s="52">
        <v>39243.29</v>
      </c>
      <c r="M12" s="52">
        <v>1604.17</v>
      </c>
      <c r="N12" s="48">
        <v>1.8</v>
      </c>
      <c r="O12" s="52">
        <v>18417.43</v>
      </c>
      <c r="P12" s="52">
        <v>7792.16</v>
      </c>
      <c r="Q12" s="52">
        <v>10235.99</v>
      </c>
      <c r="R12" s="71">
        <v>28.5</v>
      </c>
      <c r="S12" s="52">
        <v>34310.86</v>
      </c>
      <c r="T12" s="48">
        <v>729.56</v>
      </c>
      <c r="U12" s="48">
        <v>0.82</v>
      </c>
      <c r="V12" s="52">
        <v>13076.07</v>
      </c>
      <c r="W12" s="52">
        <v>2607.88</v>
      </c>
      <c r="X12" s="52">
        <v>10071.36</v>
      </c>
      <c r="Y12" s="48">
        <v>21.4</v>
      </c>
      <c r="Z12" s="52">
        <v>30758.58</v>
      </c>
      <c r="AA12" s="52">
        <v>2103.11</v>
      </c>
      <c r="AB12" s="48">
        <v>2.36</v>
      </c>
      <c r="AC12" s="52">
        <v>14897.65</v>
      </c>
      <c r="AD12" s="52">
        <v>3565.25</v>
      </c>
      <c r="AE12" s="52">
        <v>10918.3</v>
      </c>
      <c r="AF12" s="48">
        <v>23</v>
      </c>
      <c r="AG12" s="52">
        <v>27998.62</v>
      </c>
      <c r="AH12" s="52">
        <v>2188.79</v>
      </c>
      <c r="AI12" s="48">
        <v>2.46</v>
      </c>
      <c r="AJ12" s="52">
        <v>14602.76</v>
      </c>
      <c r="AK12" s="52">
        <v>2617.66</v>
      </c>
      <c r="AL12" s="52">
        <v>11566.91</v>
      </c>
      <c r="AM12" s="49">
        <v>22.4</v>
      </c>
    </row>
    <row r="13" spans="1:39">
      <c r="A13" s="38" t="s">
        <v>211</v>
      </c>
      <c r="B13" s="38" t="s">
        <v>48</v>
      </c>
      <c r="C13" s="38" t="s">
        <v>212</v>
      </c>
      <c r="D13" s="39">
        <v>51</v>
      </c>
      <c r="E13" s="41">
        <v>5</v>
      </c>
      <c r="F13" s="41">
        <v>8</v>
      </c>
      <c r="G13" s="41">
        <v>10</v>
      </c>
      <c r="H13" s="41">
        <v>8</v>
      </c>
      <c r="I13" s="41">
        <v>10</v>
      </c>
      <c r="J13" s="41">
        <v>10</v>
      </c>
      <c r="K13" s="40">
        <v>1.8123</v>
      </c>
      <c r="L13" s="52">
        <v>3303.86</v>
      </c>
      <c r="M13" s="48">
        <v>632.07000000000005</v>
      </c>
      <c r="N13" s="48">
        <v>1.76</v>
      </c>
      <c r="O13" s="52">
        <v>3166.32</v>
      </c>
      <c r="P13" s="48">
        <v>306.83</v>
      </c>
      <c r="Q13" s="52">
        <v>2859.49</v>
      </c>
      <c r="R13" s="48">
        <v>29</v>
      </c>
      <c r="S13" s="52">
        <v>3556.79</v>
      </c>
      <c r="T13" s="48">
        <v>739.6</v>
      </c>
      <c r="U13" s="48">
        <v>2.0499999999999998</v>
      </c>
      <c r="V13" s="52">
        <v>3332.13</v>
      </c>
      <c r="W13" s="48">
        <v>308.26</v>
      </c>
      <c r="X13" s="52">
        <v>3023.87</v>
      </c>
      <c r="Y13" s="48">
        <v>38.75</v>
      </c>
      <c r="Z13" s="52">
        <v>3564.25</v>
      </c>
      <c r="AA13" s="48">
        <v>743.85</v>
      </c>
      <c r="AB13" s="48">
        <v>2.0699999999999998</v>
      </c>
      <c r="AC13" s="52">
        <v>3469.5</v>
      </c>
      <c r="AD13" s="48">
        <v>320.98</v>
      </c>
      <c r="AE13" s="52">
        <v>3148.51</v>
      </c>
      <c r="AF13" s="48">
        <v>38</v>
      </c>
      <c r="AG13" s="52">
        <v>3555.94</v>
      </c>
      <c r="AH13" s="48">
        <v>788.76</v>
      </c>
      <c r="AI13" s="48">
        <v>2.19</v>
      </c>
      <c r="AJ13" s="52">
        <v>3611</v>
      </c>
      <c r="AK13" s="48">
        <v>318.13</v>
      </c>
      <c r="AL13" s="52">
        <v>3292.88</v>
      </c>
      <c r="AM13" s="49">
        <v>38.75</v>
      </c>
    </row>
    <row r="14" spans="1:39">
      <c r="A14" s="7" t="s">
        <v>220</v>
      </c>
      <c r="B14" s="7" t="s">
        <v>48</v>
      </c>
      <c r="C14" s="7" t="s">
        <v>212</v>
      </c>
      <c r="D14" s="36">
        <v>42</v>
      </c>
      <c r="E14" s="37">
        <v>8</v>
      </c>
      <c r="F14" s="37">
        <v>3</v>
      </c>
      <c r="G14" s="37">
        <v>3</v>
      </c>
      <c r="H14" s="37">
        <v>3</v>
      </c>
      <c r="I14" s="37">
        <v>4</v>
      </c>
      <c r="J14" s="37">
        <v>3</v>
      </c>
      <c r="K14" s="19">
        <v>0.66910000000000003</v>
      </c>
      <c r="L14" s="52">
        <v>156560.31</v>
      </c>
      <c r="M14" s="52">
        <v>7138</v>
      </c>
      <c r="N14" s="48">
        <v>1.47</v>
      </c>
      <c r="O14" s="52">
        <v>182569.47</v>
      </c>
      <c r="P14" s="52">
        <v>94438.04</v>
      </c>
      <c r="Q14" s="52">
        <v>80642.28</v>
      </c>
      <c r="R14" s="48">
        <v>16.899999999999999</v>
      </c>
      <c r="S14" s="52">
        <v>137212.85</v>
      </c>
      <c r="T14" s="52">
        <v>-13933.21</v>
      </c>
      <c r="U14" s="48">
        <v>-3.15</v>
      </c>
      <c r="V14" s="52">
        <v>165450.32</v>
      </c>
      <c r="W14" s="52">
        <v>99433.08</v>
      </c>
      <c r="X14" s="52">
        <v>58628.23</v>
      </c>
      <c r="Y14" s="48">
        <v>15</v>
      </c>
      <c r="Z14" s="52">
        <v>139570.53</v>
      </c>
      <c r="AA14" s="52">
        <v>4984.8900000000003</v>
      </c>
      <c r="AB14" s="48">
        <v>1.08</v>
      </c>
      <c r="AC14" s="52">
        <v>154912.37</v>
      </c>
      <c r="AD14" s="52">
        <v>98599.69</v>
      </c>
      <c r="AE14" s="52">
        <v>48635.02</v>
      </c>
      <c r="AF14" s="48">
        <v>13</v>
      </c>
      <c r="AG14" s="52">
        <v>133600.47</v>
      </c>
      <c r="AH14" s="52">
        <v>4609.42</v>
      </c>
      <c r="AI14" s="48">
        <v>1.1599999999999999</v>
      </c>
      <c r="AJ14" s="52">
        <v>158326.38</v>
      </c>
      <c r="AK14" s="52">
        <v>106243.36</v>
      </c>
      <c r="AL14" s="52">
        <v>44704.1</v>
      </c>
      <c r="AM14" s="48">
        <v>12.8</v>
      </c>
    </row>
    <row r="15" spans="1:39">
      <c r="A15" s="38" t="s">
        <v>217</v>
      </c>
      <c r="B15" s="38" t="s">
        <v>48</v>
      </c>
      <c r="C15" s="38" t="s">
        <v>212</v>
      </c>
      <c r="D15" s="39">
        <v>50</v>
      </c>
      <c r="E15" s="41">
        <v>8</v>
      </c>
      <c r="F15" s="41">
        <v>10</v>
      </c>
      <c r="G15" s="41">
        <v>8</v>
      </c>
      <c r="H15" s="41">
        <v>10</v>
      </c>
      <c r="I15" s="41">
        <v>10</v>
      </c>
      <c r="J15" s="41">
        <v>9</v>
      </c>
      <c r="K15" s="40">
        <v>0.94769999999999999</v>
      </c>
      <c r="L15" s="52">
        <v>4899.51</v>
      </c>
      <c r="M15" s="48">
        <v>653.15</v>
      </c>
      <c r="N15" s="48">
        <v>2.12</v>
      </c>
      <c r="O15" s="52">
        <v>4561.33</v>
      </c>
      <c r="P15" s="52">
        <v>1201.27</v>
      </c>
      <c r="Q15" s="52">
        <v>3257.81</v>
      </c>
      <c r="R15" s="48">
        <v>44.25</v>
      </c>
      <c r="S15" s="52">
        <v>6198.41</v>
      </c>
      <c r="T15" s="52">
        <v>1074.2</v>
      </c>
      <c r="U15" s="48">
        <v>3.49</v>
      </c>
      <c r="V15" s="52">
        <v>5680.24</v>
      </c>
      <c r="W15" s="52">
        <v>1784.38</v>
      </c>
      <c r="X15" s="52">
        <v>3817.51</v>
      </c>
      <c r="Y15" s="48">
        <v>86.5</v>
      </c>
      <c r="Z15" s="52">
        <v>7033.55</v>
      </c>
      <c r="AA15" s="52">
        <v>1252.55</v>
      </c>
      <c r="AB15" s="48">
        <v>4.07</v>
      </c>
      <c r="AC15" s="52">
        <v>5920.84</v>
      </c>
      <c r="AD15" s="52">
        <v>1429.92</v>
      </c>
      <c r="AE15" s="52">
        <v>4392.32</v>
      </c>
      <c r="AF15" s="48">
        <v>67.75</v>
      </c>
      <c r="AG15" s="52">
        <v>5372.91</v>
      </c>
      <c r="AH15" s="48">
        <v>776.21</v>
      </c>
      <c r="AI15" s="48">
        <v>2.5299999999999998</v>
      </c>
      <c r="AJ15" s="52">
        <v>5586.55</v>
      </c>
      <c r="AK15" s="52">
        <v>1128.51</v>
      </c>
      <c r="AL15" s="52">
        <v>4334.92</v>
      </c>
      <c r="AM15" s="48">
        <v>30.75</v>
      </c>
    </row>
    <row r="16" spans="1:39">
      <c r="A16" s="7" t="s">
        <v>218</v>
      </c>
      <c r="B16" s="7" t="s">
        <v>48</v>
      </c>
      <c r="C16" s="7" t="s">
        <v>212</v>
      </c>
      <c r="D16" s="36">
        <v>49</v>
      </c>
      <c r="E16" s="37">
        <v>9</v>
      </c>
      <c r="F16" s="37">
        <v>5</v>
      </c>
      <c r="G16" s="37">
        <v>7</v>
      </c>
      <c r="H16" s="37">
        <v>10</v>
      </c>
      <c r="I16" s="37">
        <v>7</v>
      </c>
      <c r="J16" s="37">
        <v>10</v>
      </c>
      <c r="K16" s="19">
        <v>1.2153</v>
      </c>
      <c r="L16" s="53">
        <v>27165.200000000001</v>
      </c>
      <c r="M16" s="53">
        <v>2785.92</v>
      </c>
      <c r="N16" s="49">
        <v>8.4499999999999993</v>
      </c>
      <c r="O16" s="53">
        <v>42880.34</v>
      </c>
      <c r="P16" s="53">
        <v>4439.97</v>
      </c>
      <c r="Q16" s="53">
        <v>29746.77</v>
      </c>
      <c r="R16" s="49">
        <v>202</v>
      </c>
      <c r="S16" s="53">
        <v>28523.96</v>
      </c>
      <c r="T16" s="53">
        <v>3777.54</v>
      </c>
      <c r="U16" s="49">
        <v>11.46</v>
      </c>
      <c r="V16" s="53">
        <v>45764.91</v>
      </c>
      <c r="W16" s="53">
        <v>4622.45</v>
      </c>
      <c r="X16" s="53">
        <v>31774.86</v>
      </c>
      <c r="Y16" s="49">
        <v>218</v>
      </c>
      <c r="Z16" s="53">
        <v>30719.82</v>
      </c>
      <c r="AA16" s="53">
        <v>4481.71</v>
      </c>
      <c r="AB16" s="49">
        <v>13.59</v>
      </c>
      <c r="AC16" s="53">
        <v>49662.71</v>
      </c>
      <c r="AD16" s="53">
        <v>5032.84</v>
      </c>
      <c r="AE16" s="53">
        <v>34539.120000000003</v>
      </c>
      <c r="AF16" s="49">
        <v>199.5</v>
      </c>
      <c r="AG16" s="53">
        <v>28711.53</v>
      </c>
      <c r="AH16" s="53">
        <v>3707.52</v>
      </c>
      <c r="AI16" s="49">
        <v>11.24</v>
      </c>
      <c r="AJ16" s="53">
        <v>51576.25</v>
      </c>
      <c r="AK16" s="53">
        <v>4695</v>
      </c>
      <c r="AL16" s="53">
        <v>36224.03</v>
      </c>
      <c r="AM16" s="49">
        <v>192.5</v>
      </c>
    </row>
    <row r="17" spans="1:39">
      <c r="A17" s="38" t="s">
        <v>199</v>
      </c>
      <c r="B17" s="38" t="s">
        <v>44</v>
      </c>
      <c r="C17" s="38" t="s">
        <v>183</v>
      </c>
      <c r="D17" s="39">
        <v>28</v>
      </c>
      <c r="E17" s="41">
        <v>2</v>
      </c>
      <c r="F17" s="41">
        <v>10</v>
      </c>
      <c r="G17" s="41">
        <v>9</v>
      </c>
      <c r="H17" s="41">
        <v>3</v>
      </c>
      <c r="I17" s="41">
        <v>4</v>
      </c>
      <c r="J17" s="41">
        <v>10</v>
      </c>
      <c r="K17" s="40">
        <v>4.9200000000000001E-2</v>
      </c>
      <c r="L17" s="53">
        <v>4032.72</v>
      </c>
      <c r="M17" s="49">
        <v>102.94</v>
      </c>
      <c r="N17" s="49">
        <v>0.86</v>
      </c>
      <c r="O17" s="53">
        <v>6580.26</v>
      </c>
      <c r="P17" s="53">
        <v>1037.8699999999999</v>
      </c>
      <c r="Q17" s="53">
        <v>5542.2</v>
      </c>
      <c r="R17" s="49">
        <v>35</v>
      </c>
      <c r="S17" s="53">
        <v>3754.9</v>
      </c>
      <c r="T17" s="49">
        <v>78.48</v>
      </c>
      <c r="U17" s="49">
        <v>0.65</v>
      </c>
      <c r="V17" s="53">
        <v>6421.13</v>
      </c>
      <c r="W17" s="49">
        <v>996.44</v>
      </c>
      <c r="X17" s="53">
        <v>5424.46</v>
      </c>
      <c r="Y17" s="49">
        <v>31.5</v>
      </c>
      <c r="Z17" s="53">
        <v>3692.5</v>
      </c>
      <c r="AA17" s="49">
        <v>24.28</v>
      </c>
      <c r="AB17" s="49">
        <v>0.2</v>
      </c>
      <c r="AC17" s="53">
        <v>6401.96</v>
      </c>
      <c r="AD17" s="53">
        <v>1012.6</v>
      </c>
      <c r="AE17" s="53">
        <v>5389.17</v>
      </c>
      <c r="AF17" s="49">
        <v>25.5</v>
      </c>
      <c r="AG17" s="53">
        <v>3322.85</v>
      </c>
      <c r="AH17" s="49">
        <v>-134.78</v>
      </c>
      <c r="AI17" s="49">
        <v>-1.1200000000000001</v>
      </c>
      <c r="AJ17" s="53">
        <v>5877.73</v>
      </c>
      <c r="AK17" s="49">
        <v>902.59</v>
      </c>
      <c r="AL17" s="53">
        <v>4974.9399999999996</v>
      </c>
      <c r="AM17" s="49">
        <v>17.399999999999999</v>
      </c>
    </row>
    <row r="18" spans="1:39">
      <c r="A18" s="7" t="s">
        <v>198</v>
      </c>
      <c r="B18" s="7" t="s">
        <v>44</v>
      </c>
      <c r="C18" s="7" t="s">
        <v>183</v>
      </c>
      <c r="D18" s="36">
        <v>32</v>
      </c>
      <c r="E18" s="37">
        <v>2</v>
      </c>
      <c r="F18" s="37">
        <v>10</v>
      </c>
      <c r="G18" s="37">
        <v>9</v>
      </c>
      <c r="H18" s="37">
        <v>3</v>
      </c>
      <c r="I18" s="37">
        <v>4</v>
      </c>
      <c r="J18" s="37">
        <v>10</v>
      </c>
      <c r="K18" s="19">
        <v>-2.4761000000000002</v>
      </c>
      <c r="L18" s="49">
        <v>746.89</v>
      </c>
      <c r="M18" s="49">
        <v>43.5</v>
      </c>
      <c r="N18" s="49">
        <v>0.45</v>
      </c>
      <c r="O18" s="53">
        <v>1671.29</v>
      </c>
      <c r="P18" s="49">
        <v>210.04</v>
      </c>
      <c r="Q18" s="53">
        <v>1461.25</v>
      </c>
      <c r="R18" s="49">
        <v>7.65</v>
      </c>
      <c r="S18" s="49">
        <v>768.16</v>
      </c>
      <c r="T18" s="49">
        <v>25.99</v>
      </c>
      <c r="U18" s="49">
        <v>0.27</v>
      </c>
      <c r="V18" s="53">
        <v>1713.8</v>
      </c>
      <c r="W18" s="49">
        <v>219.05</v>
      </c>
      <c r="X18" s="53">
        <v>1494.75</v>
      </c>
      <c r="Y18" s="49">
        <v>9</v>
      </c>
      <c r="Z18" s="49">
        <v>838.03</v>
      </c>
      <c r="AA18" s="49">
        <v>1.96</v>
      </c>
      <c r="AB18" s="49">
        <v>0.02</v>
      </c>
      <c r="AC18" s="53">
        <v>1576.57</v>
      </c>
      <c r="AD18" s="49">
        <v>158.34</v>
      </c>
      <c r="AE18" s="53">
        <v>1418.23</v>
      </c>
      <c r="AF18" s="49">
        <v>9</v>
      </c>
      <c r="AG18" s="49">
        <v>667.34</v>
      </c>
      <c r="AH18" s="49">
        <v>-5.56</v>
      </c>
      <c r="AI18" s="49">
        <v>-0.06</v>
      </c>
      <c r="AJ18" s="53">
        <v>1511.37</v>
      </c>
      <c r="AK18" s="49">
        <v>145.83000000000001</v>
      </c>
      <c r="AL18" s="53">
        <v>1365.54</v>
      </c>
      <c r="AM18" s="49">
        <v>7</v>
      </c>
    </row>
    <row r="19" spans="1:39">
      <c r="A19" s="38" t="s">
        <v>191</v>
      </c>
      <c r="B19" s="38" t="s">
        <v>44</v>
      </c>
      <c r="C19" s="38" t="s">
        <v>183</v>
      </c>
      <c r="D19" s="39">
        <v>47</v>
      </c>
      <c r="E19" s="41">
        <v>10</v>
      </c>
      <c r="F19" s="41">
        <v>3</v>
      </c>
      <c r="G19" s="41">
        <v>7</v>
      </c>
      <c r="H19" s="41">
        <v>3</v>
      </c>
      <c r="I19" s="41">
        <v>4</v>
      </c>
      <c r="J19" s="41">
        <v>8</v>
      </c>
      <c r="K19" s="40">
        <v>0.22770000000000001</v>
      </c>
      <c r="L19" s="52">
        <v>2861.86</v>
      </c>
      <c r="M19" s="48">
        <v>107.63</v>
      </c>
      <c r="N19" s="48">
        <v>2.15</v>
      </c>
      <c r="O19" s="52">
        <v>3742.54</v>
      </c>
      <c r="P19" s="52">
        <v>1088.99</v>
      </c>
      <c r="Q19" s="52">
        <v>2501.0100000000002</v>
      </c>
      <c r="R19" s="48">
        <v>30</v>
      </c>
      <c r="S19" s="52">
        <v>2185.4899999999998</v>
      </c>
      <c r="T19" s="48">
        <v>-113.53</v>
      </c>
      <c r="U19" s="48">
        <v>-2.27</v>
      </c>
      <c r="V19" s="52">
        <v>3539.51</v>
      </c>
      <c r="W19" s="48">
        <v>995.97</v>
      </c>
      <c r="X19" s="52">
        <v>2406.0100000000002</v>
      </c>
      <c r="Y19" s="48">
        <v>27.5</v>
      </c>
      <c r="Z19" s="52">
        <v>1858.59</v>
      </c>
      <c r="AA19" s="48">
        <v>-95.87</v>
      </c>
      <c r="AB19" s="48">
        <v>-1.92</v>
      </c>
      <c r="AC19" s="52">
        <v>3146.43</v>
      </c>
      <c r="AD19" s="48">
        <v>828.01</v>
      </c>
      <c r="AE19" s="52">
        <v>2184.15</v>
      </c>
      <c r="AF19" s="48">
        <v>25.25</v>
      </c>
      <c r="AG19" s="52">
        <v>1676.41</v>
      </c>
      <c r="AH19" s="48">
        <v>-40.39</v>
      </c>
      <c r="AI19" s="48">
        <v>-0.81</v>
      </c>
      <c r="AJ19" s="52">
        <v>2854.04</v>
      </c>
      <c r="AK19" s="48">
        <v>595.13</v>
      </c>
      <c r="AL19" s="52">
        <v>2118.7600000000002</v>
      </c>
      <c r="AM19" s="48">
        <v>26</v>
      </c>
    </row>
    <row r="20" spans="1:39">
      <c r="A20" s="7" t="s">
        <v>194</v>
      </c>
      <c r="B20" s="7" t="s">
        <v>44</v>
      </c>
      <c r="C20" s="7" t="s">
        <v>183</v>
      </c>
      <c r="D20" s="36">
        <v>39</v>
      </c>
      <c r="E20" s="37">
        <v>5</v>
      </c>
      <c r="F20" s="37">
        <v>10</v>
      </c>
      <c r="G20" s="37">
        <v>7</v>
      </c>
      <c r="H20" s="37">
        <v>6</v>
      </c>
      <c r="I20" s="37">
        <v>10</v>
      </c>
      <c r="J20" s="37">
        <v>8</v>
      </c>
      <c r="K20" s="19">
        <v>0.89419999999999999</v>
      </c>
      <c r="L20" s="52">
        <v>3185.72</v>
      </c>
      <c r="M20" s="48">
        <v>417.22</v>
      </c>
      <c r="N20" s="48">
        <v>1.2</v>
      </c>
      <c r="O20" s="52">
        <v>2739.87</v>
      </c>
      <c r="P20" s="48">
        <v>871.44</v>
      </c>
      <c r="Q20" s="52">
        <v>1867.69</v>
      </c>
      <c r="R20" s="48">
        <v>23.3</v>
      </c>
      <c r="S20" s="52">
        <v>3450.38</v>
      </c>
      <c r="T20" s="48">
        <v>462.55</v>
      </c>
      <c r="U20" s="48">
        <v>1.33</v>
      </c>
      <c r="V20" s="52">
        <v>2880.49</v>
      </c>
      <c r="W20" s="52">
        <v>1005.17</v>
      </c>
      <c r="X20" s="52">
        <v>1867.07</v>
      </c>
      <c r="Y20" s="48">
        <v>25.75</v>
      </c>
      <c r="Z20" s="52">
        <v>3586.94</v>
      </c>
      <c r="AA20" s="48">
        <v>464.37</v>
      </c>
      <c r="AB20" s="48">
        <v>1.34</v>
      </c>
      <c r="AC20" s="52">
        <v>2650.41</v>
      </c>
      <c r="AD20" s="48">
        <v>806.18</v>
      </c>
      <c r="AE20" s="52">
        <v>1835.9</v>
      </c>
      <c r="AF20" s="48">
        <v>20.3</v>
      </c>
      <c r="AG20" s="52">
        <v>3338.88</v>
      </c>
      <c r="AH20" s="48">
        <v>410.76</v>
      </c>
      <c r="AI20" s="48">
        <v>1.18</v>
      </c>
      <c r="AJ20" s="52">
        <v>2397.4</v>
      </c>
      <c r="AK20" s="48">
        <v>557.48</v>
      </c>
      <c r="AL20" s="52">
        <v>1832.54</v>
      </c>
      <c r="AM20" s="48">
        <v>16.399999999999999</v>
      </c>
    </row>
    <row r="21" spans="1:39">
      <c r="A21" s="38" t="s">
        <v>182</v>
      </c>
      <c r="B21" s="38" t="s">
        <v>44</v>
      </c>
      <c r="C21" s="38" t="s">
        <v>183</v>
      </c>
      <c r="D21" s="39">
        <v>54</v>
      </c>
      <c r="E21" s="41">
        <v>2</v>
      </c>
      <c r="F21" s="41">
        <v>10</v>
      </c>
      <c r="G21" s="41">
        <v>9</v>
      </c>
      <c r="H21" s="41">
        <v>10</v>
      </c>
      <c r="I21" s="41">
        <v>4</v>
      </c>
      <c r="J21" s="41">
        <v>9</v>
      </c>
      <c r="K21" s="40">
        <v>0.83499999999999996</v>
      </c>
      <c r="L21" s="54">
        <v>8269.7099999999991</v>
      </c>
      <c r="M21" s="49">
        <v>9.26</v>
      </c>
      <c r="N21" s="49">
        <v>0.1</v>
      </c>
      <c r="O21" s="53">
        <v>8457.5</v>
      </c>
      <c r="P21" s="53">
        <v>1547.55</v>
      </c>
      <c r="Q21" s="53">
        <v>6909.95</v>
      </c>
      <c r="R21" s="49">
        <v>51</v>
      </c>
      <c r="S21" s="53">
        <v>9915.1</v>
      </c>
      <c r="T21" s="49">
        <v>86.36</v>
      </c>
      <c r="U21" s="49">
        <v>1.49</v>
      </c>
      <c r="V21" s="53">
        <v>8629.2000000000007</v>
      </c>
      <c r="W21" s="53">
        <v>1698.3</v>
      </c>
      <c r="X21" s="53">
        <v>6930.9</v>
      </c>
      <c r="Y21" s="49">
        <v>46.5</v>
      </c>
      <c r="Z21" s="53">
        <v>9528.39</v>
      </c>
      <c r="AA21" s="49">
        <v>272</v>
      </c>
      <c r="AB21" s="49">
        <v>4.7</v>
      </c>
      <c r="AC21" s="53">
        <v>8845.93</v>
      </c>
      <c r="AD21" s="53">
        <v>1711.08</v>
      </c>
      <c r="AE21" s="53">
        <v>7134.86</v>
      </c>
      <c r="AF21" s="49">
        <v>56</v>
      </c>
      <c r="AG21" s="53">
        <v>9131.9500000000007</v>
      </c>
      <c r="AH21" s="49">
        <v>356.99</v>
      </c>
      <c r="AI21" s="49">
        <v>6.17</v>
      </c>
      <c r="AJ21" s="53">
        <v>8807.89</v>
      </c>
      <c r="AK21" s="53">
        <v>1466.98</v>
      </c>
      <c r="AL21" s="53">
        <v>7340.91</v>
      </c>
      <c r="AM21" s="49">
        <v>49.75</v>
      </c>
    </row>
    <row r="22" spans="1:39">
      <c r="A22" s="7" t="s">
        <v>189</v>
      </c>
      <c r="B22" s="7" t="s">
        <v>44</v>
      </c>
      <c r="C22" s="7" t="s">
        <v>185</v>
      </c>
      <c r="D22" s="36">
        <v>50</v>
      </c>
      <c r="E22" s="37">
        <v>7</v>
      </c>
      <c r="F22" s="37">
        <v>5</v>
      </c>
      <c r="G22" s="37">
        <v>9</v>
      </c>
      <c r="H22" s="37">
        <v>10</v>
      </c>
      <c r="I22" s="37">
        <v>4</v>
      </c>
      <c r="J22" s="37">
        <v>9</v>
      </c>
      <c r="K22" s="19">
        <v>0.71589999999999998</v>
      </c>
      <c r="L22" s="52">
        <v>8443.52</v>
      </c>
      <c r="M22" s="48">
        <v>337.06</v>
      </c>
      <c r="N22" s="48">
        <v>17.02</v>
      </c>
      <c r="O22" s="52">
        <v>10253.18</v>
      </c>
      <c r="P22" s="52">
        <v>2241.36</v>
      </c>
      <c r="Q22" s="52">
        <v>8011.82</v>
      </c>
      <c r="R22" s="48">
        <v>323</v>
      </c>
      <c r="S22" s="52">
        <v>8742.8799999999992</v>
      </c>
      <c r="T22" s="48">
        <v>159.58000000000001</v>
      </c>
      <c r="U22" s="48">
        <v>8.06</v>
      </c>
      <c r="V22" s="52">
        <v>9645.4500000000007</v>
      </c>
      <c r="W22" s="52">
        <v>1746.37</v>
      </c>
      <c r="X22" s="52">
        <v>7899.09</v>
      </c>
      <c r="Y22" s="48">
        <v>287</v>
      </c>
      <c r="Z22" s="52">
        <v>7737.13</v>
      </c>
      <c r="AA22" s="48">
        <v>737.62</v>
      </c>
      <c r="AB22" s="48">
        <v>37.25</v>
      </c>
      <c r="AC22" s="52">
        <v>11114.76</v>
      </c>
      <c r="AD22" s="52">
        <v>1746.55</v>
      </c>
      <c r="AE22" s="52">
        <v>9368.2099999999991</v>
      </c>
      <c r="AF22" s="48">
        <v>288</v>
      </c>
      <c r="AG22" s="52">
        <v>6962.22</v>
      </c>
      <c r="AH22" s="48">
        <v>702.51</v>
      </c>
      <c r="AI22" s="48">
        <v>35.479999999999997</v>
      </c>
      <c r="AJ22" s="52">
        <v>11243.38</v>
      </c>
      <c r="AK22" s="52">
        <v>1654.77</v>
      </c>
      <c r="AL22" s="52">
        <v>9588.61</v>
      </c>
      <c r="AM22" s="48">
        <v>283</v>
      </c>
    </row>
    <row r="23" spans="1:39">
      <c r="A23" s="38" t="s">
        <v>184</v>
      </c>
      <c r="B23" s="38" t="s">
        <v>44</v>
      </c>
      <c r="C23" s="38" t="s">
        <v>185</v>
      </c>
      <c r="D23" s="39">
        <v>53</v>
      </c>
      <c r="E23" s="41">
        <v>9</v>
      </c>
      <c r="F23" s="41">
        <v>10</v>
      </c>
      <c r="G23" s="41">
        <v>5</v>
      </c>
      <c r="H23" s="41">
        <v>8</v>
      </c>
      <c r="I23" s="41">
        <v>4</v>
      </c>
      <c r="J23" s="41">
        <v>5</v>
      </c>
      <c r="K23" s="40">
        <v>0.12139999999999999</v>
      </c>
      <c r="L23" s="48">
        <v>618.66999999999996</v>
      </c>
      <c r="M23" s="48">
        <v>-12.03</v>
      </c>
      <c r="N23" s="48">
        <v>-0.6</v>
      </c>
      <c r="O23" s="48">
        <v>839.99</v>
      </c>
      <c r="P23" s="48">
        <v>472.92</v>
      </c>
      <c r="Q23" s="48">
        <v>367.07</v>
      </c>
      <c r="R23" s="48">
        <v>8.0500000000000007</v>
      </c>
      <c r="S23" s="48">
        <v>651.52</v>
      </c>
      <c r="T23" s="48">
        <v>20.6</v>
      </c>
      <c r="U23" s="48">
        <v>1.03</v>
      </c>
      <c r="V23" s="48">
        <v>898.54</v>
      </c>
      <c r="W23" s="48">
        <v>510.89</v>
      </c>
      <c r="X23" s="48">
        <v>387.65</v>
      </c>
      <c r="Y23" s="48">
        <v>7.8</v>
      </c>
      <c r="Z23" s="48">
        <v>744.58</v>
      </c>
      <c r="AA23" s="48">
        <v>45.74</v>
      </c>
      <c r="AB23" s="48">
        <v>2.29</v>
      </c>
      <c r="AC23" s="48">
        <v>935.09</v>
      </c>
      <c r="AD23" s="48">
        <v>488.93</v>
      </c>
      <c r="AE23" s="48">
        <v>446.16</v>
      </c>
      <c r="AF23" s="48">
        <v>10.4</v>
      </c>
      <c r="AG23" s="48">
        <v>838.73</v>
      </c>
      <c r="AH23" s="48">
        <v>60.22</v>
      </c>
      <c r="AI23" s="48">
        <v>3.01</v>
      </c>
      <c r="AJ23" s="48">
        <v>994.69</v>
      </c>
      <c r="AK23" s="48">
        <v>508.31</v>
      </c>
      <c r="AL23" s="48">
        <v>486.38</v>
      </c>
      <c r="AM23" s="48">
        <v>10.1</v>
      </c>
    </row>
    <row r="24" spans="1:39">
      <c r="A24" s="7" t="s">
        <v>192</v>
      </c>
      <c r="B24" s="7" t="s">
        <v>44</v>
      </c>
      <c r="C24" s="7" t="s">
        <v>185</v>
      </c>
      <c r="D24" s="36">
        <v>44</v>
      </c>
      <c r="E24" s="37">
        <v>2</v>
      </c>
      <c r="F24" s="37">
        <v>3</v>
      </c>
      <c r="G24" s="37">
        <v>7</v>
      </c>
      <c r="H24" s="37">
        <v>10</v>
      </c>
      <c r="I24" s="37">
        <v>4</v>
      </c>
      <c r="J24" s="37">
        <v>8</v>
      </c>
      <c r="K24" s="19">
        <v>0.64219999999999999</v>
      </c>
      <c r="L24" s="52">
        <v>2434.4699999999998</v>
      </c>
      <c r="M24" s="48">
        <v>39.049999999999997</v>
      </c>
      <c r="N24" s="48">
        <v>0.05</v>
      </c>
      <c r="O24" s="52">
        <v>3351.93</v>
      </c>
      <c r="P24" s="52">
        <v>1066.47</v>
      </c>
      <c r="Q24" s="52">
        <v>2277.5</v>
      </c>
      <c r="R24" s="48">
        <v>3.38</v>
      </c>
      <c r="S24" s="52">
        <v>2576.84</v>
      </c>
      <c r="T24" s="48">
        <v>60.03</v>
      </c>
      <c r="U24" s="48">
        <v>0.08</v>
      </c>
      <c r="V24" s="52">
        <v>3275.21</v>
      </c>
      <c r="W24" s="48">
        <v>967.91</v>
      </c>
      <c r="X24" s="52">
        <v>2299.2399999999998</v>
      </c>
      <c r="Y24" s="48">
        <v>2.5</v>
      </c>
      <c r="Z24" s="52">
        <v>2529.9</v>
      </c>
      <c r="AA24" s="48">
        <v>134.94</v>
      </c>
      <c r="AB24" s="48">
        <v>0.19</v>
      </c>
      <c r="AC24" s="52">
        <v>3153.58</v>
      </c>
      <c r="AD24" s="48">
        <v>993.42</v>
      </c>
      <c r="AE24" s="52">
        <v>2150.85</v>
      </c>
      <c r="AF24" s="48">
        <v>2.16</v>
      </c>
      <c r="AG24" s="52">
        <v>2245.67</v>
      </c>
      <c r="AH24" s="48">
        <v>102.89</v>
      </c>
      <c r="AI24" s="48">
        <v>0.14000000000000001</v>
      </c>
      <c r="AJ24" s="52">
        <v>3051.64</v>
      </c>
      <c r="AK24" s="48">
        <v>915.68</v>
      </c>
      <c r="AL24" s="52">
        <v>2125.42</v>
      </c>
      <c r="AM24" s="48">
        <v>2.2000000000000002</v>
      </c>
    </row>
    <row r="25" spans="1:39">
      <c r="A25" s="38" t="s">
        <v>197</v>
      </c>
      <c r="B25" s="38" t="s">
        <v>44</v>
      </c>
      <c r="C25" s="38" t="s">
        <v>185</v>
      </c>
      <c r="D25" s="39">
        <v>34</v>
      </c>
      <c r="E25" s="41">
        <v>2</v>
      </c>
      <c r="F25" s="41">
        <v>3</v>
      </c>
      <c r="G25" s="41">
        <v>3</v>
      </c>
      <c r="H25" s="41">
        <v>3</v>
      </c>
      <c r="I25" s="41">
        <v>4</v>
      </c>
      <c r="J25" s="41">
        <v>3</v>
      </c>
      <c r="K25" s="40">
        <v>2.2475000000000001</v>
      </c>
      <c r="L25" s="52">
        <v>3268.67</v>
      </c>
      <c r="M25" s="48">
        <v>31.42</v>
      </c>
      <c r="N25" s="48">
        <v>0.06</v>
      </c>
      <c r="O25" s="52">
        <v>3383.11</v>
      </c>
      <c r="P25" s="52">
        <v>2222.88</v>
      </c>
      <c r="Q25" s="52">
        <v>1160.21</v>
      </c>
      <c r="R25" s="48">
        <v>2.04</v>
      </c>
      <c r="S25" s="52">
        <v>2759.38</v>
      </c>
      <c r="T25" s="48">
        <v>-24.09</v>
      </c>
      <c r="U25" s="48">
        <v>-0.05</v>
      </c>
      <c r="V25" s="52">
        <v>3315.27</v>
      </c>
      <c r="W25" s="52">
        <v>2204.2399999999998</v>
      </c>
      <c r="X25" s="52">
        <v>1111.01</v>
      </c>
      <c r="Y25" s="48">
        <v>1.31</v>
      </c>
      <c r="Z25" s="52">
        <v>2673.98</v>
      </c>
      <c r="AA25" s="48">
        <v>15.13</v>
      </c>
      <c r="AB25" s="48">
        <v>0.03</v>
      </c>
      <c r="AC25" s="52">
        <v>3058.59</v>
      </c>
      <c r="AD25" s="52">
        <v>1950.73</v>
      </c>
      <c r="AE25" s="52">
        <v>1107.8499999999999</v>
      </c>
      <c r="AF25" s="48">
        <v>1.19</v>
      </c>
      <c r="AG25" s="52">
        <v>2531.39</v>
      </c>
      <c r="AH25" s="48">
        <v>-19.18</v>
      </c>
      <c r="AI25" s="48">
        <v>-0.04</v>
      </c>
      <c r="AJ25" s="52">
        <v>2913.87</v>
      </c>
      <c r="AK25" s="52">
        <v>1851.62</v>
      </c>
      <c r="AL25" s="52">
        <v>1062.24</v>
      </c>
      <c r="AM25" s="48">
        <v>1.2</v>
      </c>
    </row>
    <row r="26" spans="1:39">
      <c r="A26" s="7" t="s">
        <v>195</v>
      </c>
      <c r="B26" s="7" t="s">
        <v>44</v>
      </c>
      <c r="C26" s="7" t="s">
        <v>185</v>
      </c>
      <c r="D26" s="36">
        <v>38</v>
      </c>
      <c r="E26" s="37">
        <v>6</v>
      </c>
      <c r="F26" s="37">
        <v>9</v>
      </c>
      <c r="G26" s="37">
        <v>8</v>
      </c>
      <c r="H26" s="37">
        <v>5</v>
      </c>
      <c r="I26" s="37">
        <v>6</v>
      </c>
      <c r="J26" s="37">
        <v>9</v>
      </c>
      <c r="K26" s="19">
        <v>0.86480000000000001</v>
      </c>
      <c r="L26" s="48">
        <v>700.07</v>
      </c>
      <c r="M26" s="48">
        <v>36.03</v>
      </c>
      <c r="N26" s="48">
        <v>0.09</v>
      </c>
      <c r="O26" s="48">
        <v>870.97</v>
      </c>
      <c r="P26" s="48">
        <v>161.32</v>
      </c>
      <c r="Q26" s="48">
        <v>709.65</v>
      </c>
      <c r="R26" s="48">
        <v>2.08</v>
      </c>
      <c r="S26" s="48">
        <v>785.81</v>
      </c>
      <c r="T26" s="48">
        <v>44.11</v>
      </c>
      <c r="U26" s="48">
        <v>0.1</v>
      </c>
      <c r="V26" s="52">
        <v>1065.52</v>
      </c>
      <c r="W26" s="48">
        <v>349.36</v>
      </c>
      <c r="X26" s="48">
        <v>713.12</v>
      </c>
      <c r="Y26" s="48">
        <v>2.16</v>
      </c>
      <c r="Z26" s="48">
        <v>809.43</v>
      </c>
      <c r="AA26" s="48">
        <v>36.58</v>
      </c>
      <c r="AB26" s="48">
        <v>0.08</v>
      </c>
      <c r="AC26" s="48">
        <v>986.24</v>
      </c>
      <c r="AD26" s="48">
        <v>264.02</v>
      </c>
      <c r="AE26" s="48">
        <v>717.46</v>
      </c>
      <c r="AF26" s="48">
        <v>2.08</v>
      </c>
      <c r="AG26" s="48">
        <v>767.38</v>
      </c>
      <c r="AH26" s="48">
        <v>40.200000000000003</v>
      </c>
      <c r="AI26" s="48">
        <v>0.09</v>
      </c>
      <c r="AJ26" s="48">
        <v>894.76</v>
      </c>
      <c r="AK26" s="48">
        <v>169.69</v>
      </c>
      <c r="AL26" s="48">
        <v>721.74</v>
      </c>
      <c r="AM26" s="48">
        <v>1.97</v>
      </c>
    </row>
    <row r="27" spans="1:39">
      <c r="A27" s="38" t="s">
        <v>186</v>
      </c>
      <c r="B27" s="38" t="s">
        <v>44</v>
      </c>
      <c r="C27" s="38" t="s">
        <v>187</v>
      </c>
      <c r="D27" s="39">
        <v>53</v>
      </c>
      <c r="E27" s="41">
        <v>2</v>
      </c>
      <c r="F27" s="41">
        <v>3</v>
      </c>
      <c r="G27" s="41">
        <v>6</v>
      </c>
      <c r="H27" s="41">
        <v>10</v>
      </c>
      <c r="I27" s="41">
        <v>10</v>
      </c>
      <c r="J27" s="41">
        <v>7</v>
      </c>
      <c r="K27" s="40">
        <v>8.7400000000000005E-2</v>
      </c>
      <c r="L27" s="52">
        <v>1235.2</v>
      </c>
      <c r="M27" s="48">
        <v>133.43</v>
      </c>
      <c r="N27" s="48">
        <v>0.22</v>
      </c>
      <c r="O27" s="52">
        <v>1406.3</v>
      </c>
      <c r="P27" s="48">
        <v>585.66999999999996</v>
      </c>
      <c r="Q27" s="48">
        <v>752.77</v>
      </c>
      <c r="R27" s="48">
        <v>4.34</v>
      </c>
      <c r="S27" s="52">
        <v>1698.4</v>
      </c>
      <c r="T27" s="48">
        <v>201.18</v>
      </c>
      <c r="U27" s="48">
        <v>0.33</v>
      </c>
      <c r="V27" s="52">
        <v>1477.54</v>
      </c>
      <c r="W27" s="48">
        <v>575.29999999999995</v>
      </c>
      <c r="X27" s="48">
        <v>834.05</v>
      </c>
      <c r="Y27" s="48">
        <v>3.48</v>
      </c>
      <c r="Z27" s="52">
        <v>1717.16</v>
      </c>
      <c r="AA27" s="48">
        <v>224.19</v>
      </c>
      <c r="AB27" s="48">
        <v>0.37</v>
      </c>
      <c r="AC27" s="52">
        <v>1624.54</v>
      </c>
      <c r="AD27" s="48">
        <v>677.13</v>
      </c>
      <c r="AE27" s="48">
        <v>878.3</v>
      </c>
      <c r="AF27" s="48">
        <v>3.42</v>
      </c>
      <c r="AG27" s="52">
        <v>2026.5</v>
      </c>
      <c r="AH27" s="48">
        <v>305.57</v>
      </c>
      <c r="AI27" s="48">
        <v>0.51</v>
      </c>
      <c r="AJ27" s="52">
        <v>1978.53</v>
      </c>
      <c r="AK27" s="48">
        <v>934.33</v>
      </c>
      <c r="AL27" s="48">
        <v>973.45</v>
      </c>
      <c r="AM27" s="48">
        <v>3.98</v>
      </c>
    </row>
    <row r="28" spans="1:39">
      <c r="A28" s="7" t="s">
        <v>190</v>
      </c>
      <c r="B28" s="7" t="s">
        <v>44</v>
      </c>
      <c r="C28" s="7" t="s">
        <v>187</v>
      </c>
      <c r="D28" s="36">
        <v>50</v>
      </c>
      <c r="E28" s="37">
        <v>8</v>
      </c>
      <c r="F28" s="37">
        <v>10</v>
      </c>
      <c r="G28" s="37">
        <v>9</v>
      </c>
      <c r="H28" s="37">
        <v>8</v>
      </c>
      <c r="I28" s="37">
        <v>6</v>
      </c>
      <c r="J28" s="37">
        <v>10</v>
      </c>
      <c r="K28" s="19">
        <v>0.64429999999999998</v>
      </c>
      <c r="L28" s="49">
        <v>746.38</v>
      </c>
      <c r="M28" s="49">
        <v>88.42</v>
      </c>
      <c r="N28" s="49">
        <v>6.55</v>
      </c>
      <c r="O28" s="53">
        <v>1602.76</v>
      </c>
      <c r="P28" s="49">
        <v>297.39</v>
      </c>
      <c r="Q28" s="53">
        <v>1305.3800000000001</v>
      </c>
      <c r="R28" s="49">
        <v>78.75</v>
      </c>
      <c r="S28" s="49">
        <v>905.69</v>
      </c>
      <c r="T28" s="49">
        <v>95.13</v>
      </c>
      <c r="U28" s="49">
        <v>7.05</v>
      </c>
      <c r="V28" s="53">
        <v>1569.07</v>
      </c>
      <c r="W28" s="49">
        <v>222.57</v>
      </c>
      <c r="X28" s="53">
        <v>1346.51</v>
      </c>
      <c r="Y28" s="49">
        <v>80.5</v>
      </c>
      <c r="Z28" s="49">
        <v>847.16</v>
      </c>
      <c r="AA28" s="49">
        <v>98.67</v>
      </c>
      <c r="AB28" s="49">
        <v>7.31</v>
      </c>
      <c r="AC28" s="53">
        <v>1581.8</v>
      </c>
      <c r="AD28" s="49">
        <v>193.85</v>
      </c>
      <c r="AE28" s="53">
        <v>1387.95</v>
      </c>
      <c r="AF28" s="49">
        <v>81</v>
      </c>
      <c r="AG28" s="49">
        <v>895.7</v>
      </c>
      <c r="AH28" s="49">
        <v>115.99</v>
      </c>
      <c r="AI28" s="49">
        <v>8.59</v>
      </c>
      <c r="AJ28" s="53">
        <v>1641.42</v>
      </c>
      <c r="AK28" s="49">
        <v>193.85</v>
      </c>
      <c r="AL28" s="53">
        <v>1440.34</v>
      </c>
      <c r="AM28" s="49">
        <v>84</v>
      </c>
    </row>
    <row r="29" spans="1:39">
      <c r="A29" s="38" t="s">
        <v>196</v>
      </c>
      <c r="B29" s="38" t="s">
        <v>44</v>
      </c>
      <c r="C29" s="38" t="s">
        <v>187</v>
      </c>
      <c r="D29" s="39">
        <v>38</v>
      </c>
      <c r="E29" s="41">
        <v>7</v>
      </c>
      <c r="F29" s="41">
        <v>9</v>
      </c>
      <c r="G29" s="41">
        <v>6</v>
      </c>
      <c r="H29" s="41">
        <v>6</v>
      </c>
      <c r="I29" s="41">
        <v>9</v>
      </c>
      <c r="J29" s="41">
        <v>7</v>
      </c>
      <c r="K29" s="40">
        <v>0.67049999999999998</v>
      </c>
      <c r="L29" s="53">
        <v>2960.58</v>
      </c>
      <c r="M29" s="49">
        <v>403.62</v>
      </c>
      <c r="N29" s="49">
        <v>0.85</v>
      </c>
      <c r="O29" s="53">
        <v>3302.21</v>
      </c>
      <c r="P29" s="53">
        <v>1187.28</v>
      </c>
      <c r="Q29" s="53">
        <v>2114.9299999999998</v>
      </c>
      <c r="R29" s="49">
        <v>9.6</v>
      </c>
      <c r="S29" s="53">
        <v>3013.56</v>
      </c>
      <c r="T29" s="49">
        <v>425.67</v>
      </c>
      <c r="U29" s="49">
        <v>0.9</v>
      </c>
      <c r="V29" s="53">
        <v>4046.92</v>
      </c>
      <c r="W29" s="53">
        <v>1809.13</v>
      </c>
      <c r="X29" s="53">
        <v>2237.7800000000002</v>
      </c>
      <c r="Y29" s="49">
        <v>11.8</v>
      </c>
      <c r="Z29" s="53">
        <v>3516.5</v>
      </c>
      <c r="AA29" s="49">
        <v>412.23</v>
      </c>
      <c r="AB29" s="49">
        <v>0.87</v>
      </c>
      <c r="AC29" s="53">
        <v>4396.8599999999997</v>
      </c>
      <c r="AD29" s="53">
        <v>2057.9499999999998</v>
      </c>
      <c r="AE29" s="53">
        <v>2338.91</v>
      </c>
      <c r="AF29" s="49">
        <v>9.8000000000000007</v>
      </c>
      <c r="AG29" s="53">
        <v>3592.09</v>
      </c>
      <c r="AH29" s="49">
        <v>334.45</v>
      </c>
      <c r="AI29" s="49">
        <v>0.71</v>
      </c>
      <c r="AJ29" s="53">
        <v>4569.5200000000004</v>
      </c>
      <c r="AK29" s="53">
        <v>2109.2199999999998</v>
      </c>
      <c r="AL29" s="53">
        <v>2460.31</v>
      </c>
      <c r="AM29" s="49">
        <v>6.65</v>
      </c>
    </row>
    <row r="30" spans="1:39">
      <c r="A30" s="7" t="s">
        <v>193</v>
      </c>
      <c r="B30" s="7" t="s">
        <v>44</v>
      </c>
      <c r="C30" s="7" t="s">
        <v>187</v>
      </c>
      <c r="D30" s="36">
        <v>40</v>
      </c>
      <c r="E30" s="37">
        <v>8</v>
      </c>
      <c r="F30" s="37">
        <v>10</v>
      </c>
      <c r="G30" s="37">
        <v>8</v>
      </c>
      <c r="H30" s="37">
        <v>3</v>
      </c>
      <c r="I30" s="37">
        <v>7</v>
      </c>
      <c r="J30" s="37">
        <v>9</v>
      </c>
      <c r="K30" s="19">
        <v>0.57010000000000005</v>
      </c>
      <c r="L30" s="52">
        <v>6077.26</v>
      </c>
      <c r="M30" s="48">
        <v>504.3</v>
      </c>
      <c r="N30" s="48">
        <v>3.36</v>
      </c>
      <c r="O30" s="52">
        <v>6377.37</v>
      </c>
      <c r="P30" s="52">
        <v>1437.08</v>
      </c>
      <c r="Q30" s="52">
        <v>4536.54</v>
      </c>
      <c r="R30" s="48">
        <v>31.75</v>
      </c>
      <c r="S30" s="52">
        <v>6951.32</v>
      </c>
      <c r="T30" s="48">
        <v>717.2</v>
      </c>
      <c r="U30" s="48">
        <v>4.78</v>
      </c>
      <c r="V30" s="52">
        <v>6820.2</v>
      </c>
      <c r="W30" s="52">
        <v>1530.89</v>
      </c>
      <c r="X30" s="52">
        <v>4851.53</v>
      </c>
      <c r="Y30" s="48">
        <v>52.75</v>
      </c>
      <c r="Z30" s="52">
        <v>6363.56</v>
      </c>
      <c r="AA30" s="48">
        <v>476.06</v>
      </c>
      <c r="AB30" s="48">
        <v>3.18</v>
      </c>
      <c r="AC30" s="52">
        <v>6956.31</v>
      </c>
      <c r="AD30" s="52">
        <v>1563.33</v>
      </c>
      <c r="AE30" s="52">
        <v>4922.08</v>
      </c>
      <c r="AF30" s="48">
        <v>33.25</v>
      </c>
      <c r="AG30" s="52">
        <v>7046.2</v>
      </c>
      <c r="AH30" s="48">
        <v>442.07</v>
      </c>
      <c r="AI30" s="48">
        <v>2.95</v>
      </c>
      <c r="AJ30" s="52">
        <v>7583.61</v>
      </c>
      <c r="AK30" s="52">
        <v>1672.51</v>
      </c>
      <c r="AL30" s="52">
        <v>4985.24</v>
      </c>
      <c r="AM30" s="48">
        <v>31.75</v>
      </c>
    </row>
    <row r="31" spans="1:39">
      <c r="A31" s="38" t="s">
        <v>188</v>
      </c>
      <c r="B31" s="38" t="s">
        <v>44</v>
      </c>
      <c r="C31" s="38" t="s">
        <v>187</v>
      </c>
      <c r="D31" s="39">
        <v>51</v>
      </c>
      <c r="E31" s="41">
        <v>7</v>
      </c>
      <c r="F31" s="41">
        <v>3</v>
      </c>
      <c r="G31" s="41">
        <v>8</v>
      </c>
      <c r="H31" s="41">
        <v>9</v>
      </c>
      <c r="I31" s="41">
        <v>8</v>
      </c>
      <c r="J31" s="41">
        <v>9</v>
      </c>
      <c r="K31" s="40">
        <v>0.64680000000000004</v>
      </c>
      <c r="L31" s="48">
        <v>940.06</v>
      </c>
      <c r="M31" s="48">
        <v>123.71</v>
      </c>
      <c r="N31" s="48">
        <v>0.21</v>
      </c>
      <c r="O31" s="52">
        <v>1297.08</v>
      </c>
      <c r="P31" s="48">
        <v>278.55</v>
      </c>
      <c r="Q31" s="48">
        <v>964.06</v>
      </c>
      <c r="R31" s="48">
        <v>8.5</v>
      </c>
      <c r="S31" s="48">
        <v>968.73</v>
      </c>
      <c r="T31" s="48">
        <v>131.4</v>
      </c>
      <c r="U31" s="48">
        <v>0.22</v>
      </c>
      <c r="V31" s="52">
        <v>1402.6</v>
      </c>
      <c r="W31" s="48">
        <v>309.95999999999998</v>
      </c>
      <c r="X31" s="52">
        <v>1016.62</v>
      </c>
      <c r="Y31" s="48">
        <v>4.4400000000000004</v>
      </c>
      <c r="Z31" s="52">
        <v>1176.08</v>
      </c>
      <c r="AA31" s="48">
        <v>159.74</v>
      </c>
      <c r="AB31" s="48">
        <v>0.27</v>
      </c>
      <c r="AC31" s="52">
        <v>1316.33</v>
      </c>
      <c r="AD31" s="48">
        <v>297.36</v>
      </c>
      <c r="AE31" s="52">
        <v>1018.97</v>
      </c>
      <c r="AF31" s="48">
        <v>4.0199999999999996</v>
      </c>
      <c r="AG31" s="52">
        <v>1209.98</v>
      </c>
      <c r="AH31" s="48">
        <v>165.46</v>
      </c>
      <c r="AI31" s="48">
        <v>0.28000000000000003</v>
      </c>
      <c r="AJ31" s="52">
        <v>1282.24</v>
      </c>
      <c r="AK31" s="48">
        <v>275.43</v>
      </c>
      <c r="AL31" s="52">
        <v>1006.81</v>
      </c>
      <c r="AM31" s="48">
        <v>3.02</v>
      </c>
    </row>
    <row r="32" spans="1:39">
      <c r="A32" s="7" t="s">
        <v>132</v>
      </c>
      <c r="B32" s="7" t="s">
        <v>42</v>
      </c>
      <c r="C32" s="7" t="s">
        <v>123</v>
      </c>
      <c r="D32" s="36">
        <v>43</v>
      </c>
      <c r="E32" s="37">
        <v>10</v>
      </c>
      <c r="F32" s="37">
        <v>10</v>
      </c>
      <c r="G32" s="37">
        <v>3</v>
      </c>
      <c r="H32" s="37">
        <v>3</v>
      </c>
      <c r="I32" s="37">
        <v>6</v>
      </c>
      <c r="J32" s="37">
        <v>3</v>
      </c>
      <c r="K32" s="19">
        <v>0.48380000000000001</v>
      </c>
      <c r="L32" s="52">
        <v>81535.77</v>
      </c>
      <c r="M32" s="52">
        <v>14195.19</v>
      </c>
      <c r="N32" s="48">
        <v>15</v>
      </c>
      <c r="O32" s="52">
        <v>1826278.88</v>
      </c>
      <c r="P32" s="52">
        <v>1607271.29</v>
      </c>
      <c r="Q32" s="52">
        <v>219006.44</v>
      </c>
      <c r="R32" s="48">
        <v>1.41</v>
      </c>
      <c r="S32" s="52">
        <v>94543.98</v>
      </c>
      <c r="T32" s="52">
        <v>18621.53</v>
      </c>
      <c r="U32" s="48">
        <v>0.19</v>
      </c>
      <c r="V32" s="52">
        <v>1822563.16</v>
      </c>
      <c r="W32" s="52">
        <v>1595086.59</v>
      </c>
      <c r="X32" s="52">
        <v>227476.53</v>
      </c>
      <c r="Y32" s="48">
        <v>1.67</v>
      </c>
      <c r="Z32" s="52">
        <v>97173.35</v>
      </c>
      <c r="AA32" s="52">
        <v>21031.03</v>
      </c>
      <c r="AB32" s="48">
        <v>0.22</v>
      </c>
      <c r="AC32" s="52">
        <v>1748522.5</v>
      </c>
      <c r="AD32" s="52">
        <v>1510710.13</v>
      </c>
      <c r="AE32" s="52">
        <v>237812.37</v>
      </c>
      <c r="AF32" s="48">
        <v>1.86</v>
      </c>
      <c r="AG32" s="52">
        <v>88326.43</v>
      </c>
      <c r="AH32" s="52">
        <v>20639.419999999998</v>
      </c>
      <c r="AI32" s="48">
        <v>0.22</v>
      </c>
      <c r="AJ32" s="52">
        <v>1701965.78</v>
      </c>
      <c r="AK32" s="52">
        <v>1457771.87</v>
      </c>
      <c r="AL32" s="52">
        <v>244193.91</v>
      </c>
      <c r="AM32" s="48">
        <v>2.02</v>
      </c>
    </row>
    <row r="33" spans="1:39">
      <c r="A33" s="38" t="s">
        <v>129</v>
      </c>
      <c r="B33" s="38" t="s">
        <v>42</v>
      </c>
      <c r="C33" s="38" t="s">
        <v>123</v>
      </c>
      <c r="D33" s="39">
        <v>46</v>
      </c>
      <c r="E33" s="41">
        <v>10</v>
      </c>
      <c r="F33" s="41">
        <v>10</v>
      </c>
      <c r="G33" s="41">
        <v>3</v>
      </c>
      <c r="H33" s="41">
        <v>10</v>
      </c>
      <c r="I33" s="41">
        <v>6</v>
      </c>
      <c r="J33" s="41">
        <v>3</v>
      </c>
      <c r="K33" s="40">
        <v>0.41020000000000001</v>
      </c>
      <c r="L33" s="52">
        <v>185492.9</v>
      </c>
      <c r="M33" s="52">
        <v>29305.59</v>
      </c>
      <c r="N33" s="48">
        <v>15.35</v>
      </c>
      <c r="O33" s="52">
        <v>4421752.09</v>
      </c>
      <c r="P33" s="52">
        <v>3914610.14</v>
      </c>
      <c r="Q33" s="52">
        <v>505345.98</v>
      </c>
      <c r="R33" s="48">
        <v>148</v>
      </c>
      <c r="S33" s="52">
        <v>241407.88</v>
      </c>
      <c r="T33" s="52">
        <v>41635.519999999997</v>
      </c>
      <c r="U33" s="48">
        <v>21.81</v>
      </c>
      <c r="V33" s="52">
        <v>4514484.38</v>
      </c>
      <c r="W33" s="52">
        <v>3983654.35</v>
      </c>
      <c r="X33" s="52">
        <v>528974.77</v>
      </c>
      <c r="Y33" s="48">
        <v>156.5</v>
      </c>
      <c r="Z33" s="52">
        <v>256070.98</v>
      </c>
      <c r="AA33" s="52">
        <v>45211.15</v>
      </c>
      <c r="AB33" s="48">
        <v>23.69</v>
      </c>
      <c r="AC33" s="52">
        <v>4551379.3099999996</v>
      </c>
      <c r="AD33" s="52">
        <v>3994506.03</v>
      </c>
      <c r="AE33" s="52">
        <v>555039.32999999996</v>
      </c>
      <c r="AF33" s="48">
        <v>151</v>
      </c>
      <c r="AG33" s="52">
        <v>238144.53</v>
      </c>
      <c r="AH33" s="52">
        <v>46006.51</v>
      </c>
      <c r="AI33" s="48">
        <v>24.1</v>
      </c>
      <c r="AJ33" s="52">
        <v>4606342.46</v>
      </c>
      <c r="AK33" s="52">
        <v>4030658.6</v>
      </c>
      <c r="AL33" s="52">
        <v>573922.62</v>
      </c>
      <c r="AM33" s="48">
        <v>169.5</v>
      </c>
    </row>
    <row r="34" spans="1:39">
      <c r="A34" s="7" t="s">
        <v>133</v>
      </c>
      <c r="B34" s="7" t="s">
        <v>42</v>
      </c>
      <c r="C34" s="7" t="s">
        <v>123</v>
      </c>
      <c r="D34" s="36">
        <v>42</v>
      </c>
      <c r="E34" s="37">
        <v>10</v>
      </c>
      <c r="F34" s="37">
        <v>10</v>
      </c>
      <c r="G34" s="37">
        <v>3</v>
      </c>
      <c r="H34" s="37">
        <v>8</v>
      </c>
      <c r="I34" s="37">
        <v>6</v>
      </c>
      <c r="J34" s="37">
        <v>3</v>
      </c>
      <c r="K34" s="19">
        <v>0.66810000000000003</v>
      </c>
      <c r="L34" s="52">
        <v>271302.26</v>
      </c>
      <c r="M34" s="52">
        <v>35769.49</v>
      </c>
      <c r="N34" s="48">
        <v>14.78</v>
      </c>
      <c r="O34" s="52">
        <v>4246368.88</v>
      </c>
      <c r="P34" s="52">
        <v>3679289.45</v>
      </c>
      <c r="Q34" s="52">
        <v>503269.88</v>
      </c>
      <c r="R34" s="48">
        <v>147.5</v>
      </c>
      <c r="S34" s="52">
        <v>306529.43</v>
      </c>
      <c r="T34" s="52">
        <v>42405.04</v>
      </c>
      <c r="U34" s="48">
        <v>17.579999999999998</v>
      </c>
      <c r="V34" s="52">
        <v>4283556.38</v>
      </c>
      <c r="W34" s="52">
        <v>3686721.07</v>
      </c>
      <c r="X34" s="52">
        <v>532284.77</v>
      </c>
      <c r="Y34" s="48">
        <v>135</v>
      </c>
      <c r="Z34" s="52">
        <v>259002.41</v>
      </c>
      <c r="AA34" s="52">
        <v>49603.54</v>
      </c>
      <c r="AB34" s="48">
        <v>20.63</v>
      </c>
      <c r="AC34" s="52">
        <v>4340954.3600000003</v>
      </c>
      <c r="AD34" s="52">
        <v>3695292.13</v>
      </c>
      <c r="AE34" s="52">
        <v>568725.55000000005</v>
      </c>
      <c r="AF34" s="48">
        <v>155.5</v>
      </c>
      <c r="AG34" s="52">
        <v>251100.47</v>
      </c>
      <c r="AH34" s="52">
        <v>49564.77</v>
      </c>
      <c r="AI34" s="48">
        <v>20.63</v>
      </c>
      <c r="AJ34" s="52">
        <v>4558618.07</v>
      </c>
      <c r="AK34" s="52">
        <v>3884849.99</v>
      </c>
      <c r="AL34" s="52">
        <v>581146.31000000006</v>
      </c>
      <c r="AM34" s="48">
        <v>194.5</v>
      </c>
    </row>
    <row r="35" spans="1:39">
      <c r="A35" s="38" t="s">
        <v>131</v>
      </c>
      <c r="B35" s="38" t="s">
        <v>42</v>
      </c>
      <c r="C35" s="38" t="s">
        <v>123</v>
      </c>
      <c r="D35" s="39">
        <v>44</v>
      </c>
      <c r="E35" s="41">
        <v>8</v>
      </c>
      <c r="F35" s="41">
        <v>8</v>
      </c>
      <c r="G35" s="41">
        <v>5</v>
      </c>
      <c r="H35" s="41">
        <v>9</v>
      </c>
      <c r="I35" s="41">
        <v>7</v>
      </c>
      <c r="J35" s="41">
        <v>5</v>
      </c>
      <c r="K35" s="40">
        <v>0.39360000000000001</v>
      </c>
      <c r="L35" s="52">
        <v>15546.3</v>
      </c>
      <c r="M35" s="52">
        <v>5219.84</v>
      </c>
      <c r="N35" s="48">
        <v>4.9800000000000004</v>
      </c>
      <c r="O35" s="52">
        <v>157089.03</v>
      </c>
      <c r="P35" s="52">
        <v>84558.42</v>
      </c>
      <c r="Q35" s="52">
        <v>66763.16</v>
      </c>
      <c r="R35" s="48">
        <v>42.5</v>
      </c>
      <c r="S35" s="52">
        <v>17631.64</v>
      </c>
      <c r="T35" s="52">
        <v>6602.96</v>
      </c>
      <c r="U35" s="48">
        <v>6.3</v>
      </c>
      <c r="V35" s="52">
        <v>161645.78</v>
      </c>
      <c r="W35" s="52">
        <v>85832.2</v>
      </c>
      <c r="X35" s="52">
        <v>69914.48</v>
      </c>
      <c r="Y35" s="48">
        <v>49.5</v>
      </c>
      <c r="Z35" s="52">
        <v>18046.8</v>
      </c>
      <c r="AA35" s="52">
        <v>6646.02</v>
      </c>
      <c r="AB35" s="48">
        <v>6.34</v>
      </c>
      <c r="AC35" s="52">
        <v>160791.26</v>
      </c>
      <c r="AD35" s="52">
        <v>80308.899999999994</v>
      </c>
      <c r="AE35" s="52">
        <v>74505.56</v>
      </c>
      <c r="AF35" s="48">
        <v>50.5</v>
      </c>
      <c r="AG35" s="52">
        <v>18405.98</v>
      </c>
      <c r="AH35" s="52">
        <v>7749.83</v>
      </c>
      <c r="AI35" s="48">
        <v>7.39</v>
      </c>
      <c r="AJ35" s="52">
        <v>154673.69</v>
      </c>
      <c r="AK35" s="52">
        <v>68662.14</v>
      </c>
      <c r="AL35" s="52">
        <v>80513.649999999994</v>
      </c>
      <c r="AM35" s="48">
        <v>58.25</v>
      </c>
    </row>
    <row r="36" spans="1:39">
      <c r="A36" s="7" t="s">
        <v>122</v>
      </c>
      <c r="B36" s="7" t="s">
        <v>42</v>
      </c>
      <c r="C36" s="7" t="s">
        <v>123</v>
      </c>
      <c r="D36" s="36">
        <v>49</v>
      </c>
      <c r="E36" s="37">
        <v>10</v>
      </c>
      <c r="F36" s="37">
        <v>10</v>
      </c>
      <c r="G36" s="37">
        <v>3</v>
      </c>
      <c r="H36" s="37">
        <v>10</v>
      </c>
      <c r="I36" s="37">
        <v>7</v>
      </c>
      <c r="J36" s="37">
        <v>3</v>
      </c>
      <c r="K36" s="19">
        <v>1.2057</v>
      </c>
      <c r="L36" s="52">
        <v>149675.54999999999</v>
      </c>
      <c r="M36" s="52">
        <v>33697.74</v>
      </c>
      <c r="N36" s="48">
        <v>2.41</v>
      </c>
      <c r="O36" s="52">
        <v>3592418.86</v>
      </c>
      <c r="P36" s="52">
        <v>3199846.83</v>
      </c>
      <c r="Q36" s="52">
        <v>376304.77</v>
      </c>
      <c r="R36" s="48">
        <v>17.7</v>
      </c>
      <c r="S36" s="52">
        <v>189487.17</v>
      </c>
      <c r="T36" s="52">
        <v>36615.910000000003</v>
      </c>
      <c r="U36" s="48">
        <v>2.62</v>
      </c>
      <c r="V36" s="52">
        <v>3677684.45</v>
      </c>
      <c r="W36" s="52">
        <v>3256838.16</v>
      </c>
      <c r="X36" s="52">
        <v>402376.08</v>
      </c>
      <c r="Y36" s="48">
        <v>18.399999999999999</v>
      </c>
      <c r="Z36" s="52">
        <v>206630.47</v>
      </c>
      <c r="AA36" s="52">
        <v>43855.66</v>
      </c>
      <c r="AB36" s="48">
        <v>3.14</v>
      </c>
      <c r="AC36" s="52">
        <v>3744184.18</v>
      </c>
      <c r="AD36" s="52">
        <v>3279797.32</v>
      </c>
      <c r="AE36" s="52">
        <v>443838.21</v>
      </c>
      <c r="AF36" s="48">
        <v>21</v>
      </c>
      <c r="AG36" s="52">
        <v>189848.59</v>
      </c>
      <c r="AH36" s="52">
        <v>48228.6</v>
      </c>
      <c r="AI36" s="48">
        <v>3.45</v>
      </c>
      <c r="AJ36" s="52">
        <v>3933319.4</v>
      </c>
      <c r="AK36" s="52">
        <v>3446296.83</v>
      </c>
      <c r="AL36" s="52">
        <v>464229.58</v>
      </c>
      <c r="AM36" s="48">
        <v>28.25</v>
      </c>
    </row>
    <row r="37" spans="1:39">
      <c r="A37" s="38" t="s">
        <v>130</v>
      </c>
      <c r="B37" s="38" t="s">
        <v>42</v>
      </c>
      <c r="C37" s="38" t="s">
        <v>123</v>
      </c>
      <c r="D37" s="39">
        <v>45</v>
      </c>
      <c r="E37" s="41">
        <v>10</v>
      </c>
      <c r="F37" s="41">
        <v>3</v>
      </c>
      <c r="G37" s="41">
        <v>3</v>
      </c>
      <c r="H37" s="41">
        <v>9</v>
      </c>
      <c r="I37" s="41">
        <v>6</v>
      </c>
      <c r="J37" s="41">
        <v>3</v>
      </c>
      <c r="K37" s="40">
        <v>-0.87719999999999998</v>
      </c>
      <c r="L37" s="52">
        <v>10866.82</v>
      </c>
      <c r="M37" s="52">
        <v>1578.76</v>
      </c>
      <c r="N37" s="48">
        <v>0.08</v>
      </c>
      <c r="O37" s="52">
        <v>301556.47999999998</v>
      </c>
      <c r="P37" s="52">
        <v>264685.90000000002</v>
      </c>
      <c r="Q37" s="52">
        <v>36870.58</v>
      </c>
      <c r="R37" s="48">
        <v>1.23</v>
      </c>
      <c r="S37" s="52">
        <v>13686.39</v>
      </c>
      <c r="T37" s="52">
        <v>2096.29</v>
      </c>
      <c r="U37" s="48">
        <v>0.1</v>
      </c>
      <c r="V37" s="52">
        <v>323322.53999999998</v>
      </c>
      <c r="W37" s="52">
        <v>287361.68</v>
      </c>
      <c r="X37" s="52">
        <v>35960.86</v>
      </c>
      <c r="Y37" s="48">
        <v>1</v>
      </c>
      <c r="Z37" s="52">
        <v>14775.04</v>
      </c>
      <c r="AA37" s="52">
        <v>2046.99</v>
      </c>
      <c r="AB37" s="48">
        <v>0.1</v>
      </c>
      <c r="AC37" s="52">
        <v>346862.62</v>
      </c>
      <c r="AD37" s="52">
        <v>308218.81</v>
      </c>
      <c r="AE37" s="52">
        <v>38643.81</v>
      </c>
      <c r="AF37" s="48">
        <v>0.78</v>
      </c>
      <c r="AG37" s="52">
        <v>15414.09</v>
      </c>
      <c r="AH37" s="52">
        <v>2885.87</v>
      </c>
      <c r="AI37" s="48">
        <v>0.14000000000000001</v>
      </c>
      <c r="AJ37" s="52">
        <v>398811.03</v>
      </c>
      <c r="AK37" s="52">
        <v>356094.32</v>
      </c>
      <c r="AL37" s="52">
        <v>42716.71</v>
      </c>
      <c r="AM37" s="48">
        <v>0.9</v>
      </c>
    </row>
    <row r="38" spans="1:39">
      <c r="A38" s="7" t="s">
        <v>137</v>
      </c>
      <c r="B38" s="7" t="s">
        <v>42</v>
      </c>
      <c r="C38" s="7" t="s">
        <v>125</v>
      </c>
      <c r="D38" s="36">
        <v>30</v>
      </c>
      <c r="E38" s="37">
        <v>4</v>
      </c>
      <c r="F38" s="37">
        <v>5</v>
      </c>
      <c r="G38" s="37">
        <v>3</v>
      </c>
      <c r="H38" s="37">
        <v>3</v>
      </c>
      <c r="I38" s="37">
        <v>7</v>
      </c>
      <c r="J38" s="37">
        <v>3</v>
      </c>
      <c r="K38" s="19">
        <v>2.9026000000000001</v>
      </c>
      <c r="L38" s="52">
        <v>5623.6</v>
      </c>
      <c r="M38" s="52">
        <v>1512.14</v>
      </c>
      <c r="N38" s="48">
        <v>2.86</v>
      </c>
      <c r="O38" s="52">
        <v>69148.570000000007</v>
      </c>
      <c r="P38" s="52">
        <v>58894.05</v>
      </c>
      <c r="Q38" s="52">
        <v>10254.52</v>
      </c>
      <c r="R38" s="48">
        <v>35.5</v>
      </c>
      <c r="S38" s="52">
        <v>6498.71</v>
      </c>
      <c r="T38" s="52">
        <v>1218.77</v>
      </c>
      <c r="U38" s="48">
        <v>2.31</v>
      </c>
      <c r="V38" s="52">
        <v>77528.92</v>
      </c>
      <c r="W38" s="52">
        <v>66870.37</v>
      </c>
      <c r="X38" s="52">
        <v>10658.55</v>
      </c>
      <c r="Y38" s="48">
        <v>19.899999999999999</v>
      </c>
      <c r="Z38" s="52">
        <v>6408.12</v>
      </c>
      <c r="AA38" s="48">
        <v>331.8</v>
      </c>
      <c r="AB38" s="48">
        <v>0.63</v>
      </c>
      <c r="AC38" s="52">
        <v>72687.5</v>
      </c>
      <c r="AD38" s="52">
        <v>62362.67</v>
      </c>
      <c r="AE38" s="52">
        <v>10324.83</v>
      </c>
      <c r="AF38" s="48">
        <v>10.3</v>
      </c>
      <c r="AG38" s="52">
        <v>5455.3</v>
      </c>
      <c r="AH38" s="48">
        <v>531.54999999999995</v>
      </c>
      <c r="AI38" s="48">
        <v>0.83</v>
      </c>
      <c r="AJ38" s="52">
        <v>61273.35</v>
      </c>
      <c r="AK38" s="52">
        <v>49419.28</v>
      </c>
      <c r="AL38" s="52">
        <v>11854.07</v>
      </c>
      <c r="AM38" s="48">
        <v>7.3</v>
      </c>
    </row>
    <row r="39" spans="1:39">
      <c r="A39" s="38" t="s">
        <v>126</v>
      </c>
      <c r="B39" s="38" t="s">
        <v>42</v>
      </c>
      <c r="C39" s="38" t="s">
        <v>125</v>
      </c>
      <c r="D39" s="39">
        <v>47</v>
      </c>
      <c r="E39" s="41">
        <v>4</v>
      </c>
      <c r="F39" s="41">
        <v>3</v>
      </c>
      <c r="G39" s="41">
        <v>8</v>
      </c>
      <c r="H39" s="41">
        <v>8</v>
      </c>
      <c r="I39" s="41">
        <v>9</v>
      </c>
      <c r="J39" s="41">
        <v>9</v>
      </c>
      <c r="K39" s="40">
        <v>0.7147</v>
      </c>
      <c r="L39" s="52">
        <v>1095.73</v>
      </c>
      <c r="M39" s="48">
        <v>221.11</v>
      </c>
      <c r="N39" s="48">
        <v>1.76</v>
      </c>
      <c r="O39" s="52">
        <v>1563.21</v>
      </c>
      <c r="P39" s="48">
        <v>337.16</v>
      </c>
      <c r="Q39" s="52">
        <v>1226.05</v>
      </c>
      <c r="R39" s="48">
        <v>22.9</v>
      </c>
      <c r="S39" s="52">
        <v>1133.3699999999999</v>
      </c>
      <c r="T39" s="48">
        <v>189.02</v>
      </c>
      <c r="U39" s="48">
        <v>1.5</v>
      </c>
      <c r="V39" s="52">
        <v>1683.46</v>
      </c>
      <c r="W39" s="48">
        <v>494.39</v>
      </c>
      <c r="X39" s="52">
        <v>1189.07</v>
      </c>
      <c r="Y39" s="48">
        <v>20</v>
      </c>
      <c r="Z39" s="52">
        <v>1375.42</v>
      </c>
      <c r="AA39" s="48">
        <v>227.19</v>
      </c>
      <c r="AB39" s="48">
        <v>1.81</v>
      </c>
      <c r="AC39" s="52">
        <v>1828.14</v>
      </c>
      <c r="AD39" s="48">
        <v>569.82000000000005</v>
      </c>
      <c r="AE39" s="52">
        <v>1258.32</v>
      </c>
      <c r="AF39" s="48">
        <v>28.25</v>
      </c>
      <c r="AG39" s="52">
        <v>1586.18</v>
      </c>
      <c r="AH39" s="48">
        <v>239.59</v>
      </c>
      <c r="AI39" s="48">
        <v>1.91</v>
      </c>
      <c r="AJ39" s="52">
        <v>2161.23</v>
      </c>
      <c r="AK39" s="48">
        <v>772.84</v>
      </c>
      <c r="AL39" s="52">
        <v>1388.39</v>
      </c>
      <c r="AM39" s="48">
        <v>27</v>
      </c>
    </row>
    <row r="40" spans="1:39">
      <c r="A40" s="7" t="s">
        <v>124</v>
      </c>
      <c r="B40" s="7" t="s">
        <v>42</v>
      </c>
      <c r="C40" s="7" t="s">
        <v>125</v>
      </c>
      <c r="D40" s="36">
        <v>49</v>
      </c>
      <c r="E40" s="37">
        <v>4</v>
      </c>
      <c r="F40" s="37">
        <v>3</v>
      </c>
      <c r="G40" s="37">
        <v>8</v>
      </c>
      <c r="H40" s="37">
        <v>8</v>
      </c>
      <c r="I40" s="37">
        <v>9</v>
      </c>
      <c r="J40" s="37">
        <v>9</v>
      </c>
      <c r="K40" s="19">
        <v>1.7735000000000001</v>
      </c>
      <c r="L40" s="52">
        <v>1095.73</v>
      </c>
      <c r="M40" s="48">
        <v>221.11</v>
      </c>
      <c r="N40" s="48">
        <v>1.76</v>
      </c>
      <c r="O40" s="52">
        <v>1563.21</v>
      </c>
      <c r="P40" s="48">
        <v>337.16</v>
      </c>
      <c r="Q40" s="52">
        <v>1226.05</v>
      </c>
      <c r="R40" s="48">
        <v>22.9</v>
      </c>
      <c r="S40" s="52">
        <v>1133.3699999999999</v>
      </c>
      <c r="T40" s="48">
        <v>189.02</v>
      </c>
      <c r="U40" s="48">
        <v>1.5</v>
      </c>
      <c r="V40" s="52">
        <v>1683.46</v>
      </c>
      <c r="W40" s="48">
        <v>494.39</v>
      </c>
      <c r="X40" s="52">
        <v>1189.07</v>
      </c>
      <c r="Y40" s="48">
        <v>20</v>
      </c>
      <c r="Z40" s="52">
        <v>1375.42</v>
      </c>
      <c r="AA40" s="48">
        <v>227.19</v>
      </c>
      <c r="AB40" s="48">
        <v>1.81</v>
      </c>
      <c r="AC40" s="52">
        <v>1828.14</v>
      </c>
      <c r="AD40" s="48">
        <v>569.82000000000005</v>
      </c>
      <c r="AE40" s="52">
        <v>1258.32</v>
      </c>
      <c r="AF40" s="48">
        <v>28.25</v>
      </c>
      <c r="AG40" s="52">
        <v>1586.18</v>
      </c>
      <c r="AH40" s="48">
        <v>239.59</v>
      </c>
      <c r="AI40" s="48">
        <v>1.91</v>
      </c>
      <c r="AJ40" s="52">
        <v>2161.23</v>
      </c>
      <c r="AK40" s="48">
        <v>772.84</v>
      </c>
      <c r="AL40" s="52">
        <v>1388.39</v>
      </c>
      <c r="AM40" s="48">
        <v>27</v>
      </c>
    </row>
    <row r="41" spans="1:39">
      <c r="A41" s="38" t="s">
        <v>139</v>
      </c>
      <c r="B41" s="38" t="s">
        <v>42</v>
      </c>
      <c r="C41" s="38" t="s">
        <v>125</v>
      </c>
      <c r="D41" s="39">
        <v>23</v>
      </c>
      <c r="E41" s="41">
        <v>2</v>
      </c>
      <c r="F41" s="41">
        <v>5</v>
      </c>
      <c r="G41" s="41">
        <v>3</v>
      </c>
      <c r="H41" s="41">
        <v>3</v>
      </c>
      <c r="I41" s="41">
        <v>6</v>
      </c>
      <c r="J41" s="41">
        <v>3</v>
      </c>
      <c r="K41" s="40">
        <v>3.2660999999999998</v>
      </c>
      <c r="L41" s="52">
        <v>2124.36</v>
      </c>
      <c r="M41" s="48">
        <v>461.12</v>
      </c>
      <c r="N41" s="48">
        <v>0.12</v>
      </c>
      <c r="O41" s="52">
        <v>12263.65</v>
      </c>
      <c r="P41" s="52">
        <v>7019.3</v>
      </c>
      <c r="Q41" s="52">
        <v>5244.34</v>
      </c>
      <c r="R41" s="48">
        <v>2.94</v>
      </c>
      <c r="S41" s="52">
        <v>2877.73</v>
      </c>
      <c r="T41" s="48">
        <v>422.01</v>
      </c>
      <c r="U41" s="48">
        <v>0.11</v>
      </c>
      <c r="V41" s="52">
        <v>15673.2</v>
      </c>
      <c r="W41" s="52">
        <v>10257.11</v>
      </c>
      <c r="X41" s="52">
        <v>5416.09</v>
      </c>
      <c r="Y41" s="48">
        <v>1.92</v>
      </c>
      <c r="Z41" s="52">
        <v>2860.72</v>
      </c>
      <c r="AA41" s="48">
        <v>72.98</v>
      </c>
      <c r="AB41" s="48">
        <v>0.02</v>
      </c>
      <c r="AC41" s="52">
        <v>13087.97</v>
      </c>
      <c r="AD41" s="52">
        <v>7847.53</v>
      </c>
      <c r="AE41" s="52">
        <v>5240.4399999999996</v>
      </c>
      <c r="AF41" s="48">
        <v>1.1200000000000001</v>
      </c>
      <c r="AG41" s="52">
        <v>2152.6</v>
      </c>
      <c r="AH41" s="48">
        <v>33.979999999999997</v>
      </c>
      <c r="AI41" s="48">
        <v>0.01</v>
      </c>
      <c r="AJ41" s="52">
        <v>9176.68</v>
      </c>
      <c r="AK41" s="52">
        <v>4100.17</v>
      </c>
      <c r="AL41" s="52">
        <v>5076.5200000000004</v>
      </c>
      <c r="AM41" s="48">
        <v>0.96</v>
      </c>
    </row>
    <row r="42" spans="1:39">
      <c r="A42" s="7" t="s">
        <v>135</v>
      </c>
      <c r="B42" s="7" t="s">
        <v>42</v>
      </c>
      <c r="C42" s="7" t="s">
        <v>125</v>
      </c>
      <c r="D42" s="36">
        <v>34</v>
      </c>
      <c r="E42" s="37">
        <v>5</v>
      </c>
      <c r="F42" s="37">
        <v>3</v>
      </c>
      <c r="G42" s="37">
        <v>5</v>
      </c>
      <c r="H42" s="37">
        <v>3</v>
      </c>
      <c r="I42" s="37">
        <v>7</v>
      </c>
      <c r="J42" s="37">
        <v>5</v>
      </c>
      <c r="K42" s="19">
        <v>0.62050000000000005</v>
      </c>
      <c r="L42" s="52">
        <v>4145.54</v>
      </c>
      <c r="M42" s="52">
        <v>1004.46</v>
      </c>
      <c r="N42" s="48">
        <v>0.5</v>
      </c>
      <c r="O42" s="52">
        <v>17832.490000000002</v>
      </c>
      <c r="P42" s="52">
        <v>10359.26</v>
      </c>
      <c r="Q42" s="52">
        <v>7468.37</v>
      </c>
      <c r="R42" s="48">
        <v>5</v>
      </c>
      <c r="S42" s="52">
        <v>3796.65</v>
      </c>
      <c r="T42" s="48">
        <v>868.45</v>
      </c>
      <c r="U42" s="48">
        <v>0.44</v>
      </c>
      <c r="V42" s="52">
        <v>23693.68</v>
      </c>
      <c r="W42" s="52">
        <v>16060.03</v>
      </c>
      <c r="X42" s="52">
        <v>7630</v>
      </c>
      <c r="Y42" s="48">
        <v>4.58</v>
      </c>
      <c r="Z42" s="52">
        <v>3709</v>
      </c>
      <c r="AA42" s="48">
        <v>864.74</v>
      </c>
      <c r="AB42" s="48">
        <v>0.43</v>
      </c>
      <c r="AC42" s="52">
        <v>15023.55</v>
      </c>
      <c r="AD42" s="52">
        <v>7130.54</v>
      </c>
      <c r="AE42" s="52">
        <v>7889.48</v>
      </c>
      <c r="AF42" s="48">
        <v>4.24</v>
      </c>
      <c r="AG42" s="52">
        <v>3685.59</v>
      </c>
      <c r="AH42" s="48">
        <v>866.4</v>
      </c>
      <c r="AI42" s="48">
        <v>0.43</v>
      </c>
      <c r="AJ42" s="52">
        <v>17090.8</v>
      </c>
      <c r="AK42" s="52">
        <v>8968.9</v>
      </c>
      <c r="AL42" s="52">
        <v>8118.46</v>
      </c>
      <c r="AM42" s="48">
        <v>3.98</v>
      </c>
    </row>
    <row r="43" spans="1:39">
      <c r="A43" s="38" t="s">
        <v>136</v>
      </c>
      <c r="B43" s="38" t="s">
        <v>42</v>
      </c>
      <c r="C43" s="38" t="s">
        <v>125</v>
      </c>
      <c r="D43" s="39">
        <v>32</v>
      </c>
      <c r="E43" s="41">
        <v>5</v>
      </c>
      <c r="F43" s="41">
        <v>3</v>
      </c>
      <c r="G43" s="41">
        <v>3</v>
      </c>
      <c r="H43" s="41">
        <v>3</v>
      </c>
      <c r="I43" s="41">
        <v>4</v>
      </c>
      <c r="J43" s="41">
        <v>3</v>
      </c>
      <c r="K43" s="40">
        <v>0.41170000000000001</v>
      </c>
      <c r="L43" s="52">
        <v>12780.63</v>
      </c>
      <c r="M43" s="52">
        <v>2724.76</v>
      </c>
      <c r="N43" s="48">
        <v>0.84</v>
      </c>
      <c r="O43" s="52">
        <v>132804.57</v>
      </c>
      <c r="P43" s="52">
        <v>89096.56</v>
      </c>
      <c r="Q43" s="52">
        <v>43708.02</v>
      </c>
      <c r="R43" s="48">
        <v>15.8</v>
      </c>
      <c r="S43" s="52">
        <v>12004.59</v>
      </c>
      <c r="T43" s="52">
        <v>1534.5</v>
      </c>
      <c r="U43" s="48">
        <v>0.47</v>
      </c>
      <c r="V43" s="52">
        <v>137314.51</v>
      </c>
      <c r="W43" s="52">
        <v>93685.3</v>
      </c>
      <c r="X43" s="52">
        <v>43629.2</v>
      </c>
      <c r="Y43" s="48">
        <v>8.15</v>
      </c>
      <c r="Z43" s="52">
        <v>12782.54</v>
      </c>
      <c r="AA43" s="52">
        <v>1601.64</v>
      </c>
      <c r="AB43" s="48">
        <v>0.5</v>
      </c>
      <c r="AC43" s="52">
        <v>140634.71</v>
      </c>
      <c r="AD43" s="52">
        <v>96409.94</v>
      </c>
      <c r="AE43" s="52">
        <v>44224.77</v>
      </c>
      <c r="AF43" s="48">
        <v>6.1</v>
      </c>
      <c r="AG43" s="52">
        <v>13301.41</v>
      </c>
      <c r="AH43" s="52">
        <v>1812.27</v>
      </c>
      <c r="AI43" s="48">
        <v>0.56000000000000005</v>
      </c>
      <c r="AJ43" s="52">
        <v>136027.54</v>
      </c>
      <c r="AK43" s="52">
        <v>91113.93</v>
      </c>
      <c r="AL43" s="52">
        <v>44913.61</v>
      </c>
      <c r="AM43" s="48">
        <v>8</v>
      </c>
    </row>
    <row r="44" spans="1:39">
      <c r="A44" s="7" t="s">
        <v>138</v>
      </c>
      <c r="B44" s="7" t="s">
        <v>42</v>
      </c>
      <c r="C44" s="7" t="s">
        <v>128</v>
      </c>
      <c r="D44" s="36">
        <v>24</v>
      </c>
      <c r="E44" s="37">
        <v>4</v>
      </c>
      <c r="F44" s="37">
        <v>3</v>
      </c>
      <c r="G44" s="37">
        <v>3</v>
      </c>
      <c r="H44" s="37">
        <v>3</v>
      </c>
      <c r="I44" s="37">
        <v>8</v>
      </c>
      <c r="J44" s="37">
        <v>3</v>
      </c>
      <c r="K44" s="19">
        <v>0.25459999999999999</v>
      </c>
      <c r="L44" s="52">
        <v>17239.07</v>
      </c>
      <c r="M44" s="48">
        <v>810.22</v>
      </c>
      <c r="N44" s="48">
        <v>13.73</v>
      </c>
      <c r="O44" s="52">
        <v>31572.42</v>
      </c>
      <c r="P44" s="52">
        <v>25267.19</v>
      </c>
      <c r="Q44" s="52">
        <v>6305.24</v>
      </c>
      <c r="R44" s="48">
        <v>123.5</v>
      </c>
      <c r="S44" s="52">
        <v>17356.09</v>
      </c>
      <c r="T44" s="48">
        <v>655.46</v>
      </c>
      <c r="U44" s="48">
        <v>11.11</v>
      </c>
      <c r="V44" s="52">
        <v>31380.36</v>
      </c>
      <c r="W44" s="52">
        <v>25297.75</v>
      </c>
      <c r="X44" s="52">
        <v>6082.61</v>
      </c>
      <c r="Y44" s="48">
        <v>113</v>
      </c>
      <c r="Z44" s="52">
        <v>19311.189999999999</v>
      </c>
      <c r="AA44" s="52">
        <v>1501.34</v>
      </c>
      <c r="AB44" s="48">
        <v>2.54</v>
      </c>
      <c r="AC44" s="52">
        <v>32372.98</v>
      </c>
      <c r="AD44" s="52">
        <v>25902.49</v>
      </c>
      <c r="AE44" s="52">
        <v>6470.49</v>
      </c>
      <c r="AF44" s="48">
        <v>106.5</v>
      </c>
      <c r="AG44" s="52">
        <v>20052.96</v>
      </c>
      <c r="AH44" s="48">
        <v>957.61</v>
      </c>
      <c r="AI44" s="48">
        <v>1.62</v>
      </c>
      <c r="AJ44" s="52">
        <v>29571.96</v>
      </c>
      <c r="AK44" s="52">
        <v>21292.880000000001</v>
      </c>
      <c r="AL44" s="52">
        <v>8279.08</v>
      </c>
      <c r="AM44" s="48">
        <v>15.6</v>
      </c>
    </row>
    <row r="45" spans="1:39">
      <c r="A45" s="38" t="s">
        <v>134</v>
      </c>
      <c r="B45" s="38" t="s">
        <v>42</v>
      </c>
      <c r="C45" s="38" t="s">
        <v>128</v>
      </c>
      <c r="D45" s="39">
        <v>37</v>
      </c>
      <c r="E45" s="41">
        <v>2</v>
      </c>
      <c r="F45" s="41">
        <v>5</v>
      </c>
      <c r="G45" s="41">
        <v>6</v>
      </c>
      <c r="H45" s="41">
        <v>3</v>
      </c>
      <c r="I45" s="41">
        <v>6</v>
      </c>
      <c r="J45" s="41">
        <v>6</v>
      </c>
      <c r="K45" s="40">
        <v>1.627</v>
      </c>
      <c r="L45" s="52">
        <v>8303.44</v>
      </c>
      <c r="M45" s="52">
        <v>1004.73</v>
      </c>
      <c r="N45" s="48">
        <v>2.58</v>
      </c>
      <c r="O45" s="52">
        <v>21912.55</v>
      </c>
      <c r="P45" s="52">
        <v>10053.33</v>
      </c>
      <c r="Q45" s="52">
        <v>11859.22</v>
      </c>
      <c r="R45" s="48">
        <v>41.75</v>
      </c>
      <c r="S45" s="52">
        <v>10402.950000000001</v>
      </c>
      <c r="T45" s="48">
        <v>933</v>
      </c>
      <c r="U45" s="48">
        <v>2.4</v>
      </c>
      <c r="V45" s="52">
        <v>23091.62</v>
      </c>
      <c r="W45" s="52">
        <v>10467.219999999999</v>
      </c>
      <c r="X45" s="52">
        <v>12624.4</v>
      </c>
      <c r="Y45" s="48">
        <v>33.5</v>
      </c>
      <c r="Z45" s="52">
        <v>11027.21</v>
      </c>
      <c r="AA45" s="48">
        <v>714.75</v>
      </c>
      <c r="AB45" s="48">
        <v>1.84</v>
      </c>
      <c r="AC45" s="52">
        <v>25379.06</v>
      </c>
      <c r="AD45" s="52">
        <v>11034.37</v>
      </c>
      <c r="AE45" s="52">
        <v>14344.69</v>
      </c>
      <c r="AF45" s="48">
        <v>30.75</v>
      </c>
      <c r="AG45" s="52">
        <v>10836.67</v>
      </c>
      <c r="AH45" s="52">
        <v>2595.69</v>
      </c>
      <c r="AI45" s="48">
        <v>6.67</v>
      </c>
      <c r="AJ45" s="52">
        <v>23698.92</v>
      </c>
      <c r="AK45" s="52">
        <v>9043.74</v>
      </c>
      <c r="AL45" s="52">
        <v>14655.17</v>
      </c>
      <c r="AM45" s="48">
        <v>35.25</v>
      </c>
    </row>
    <row r="46" spans="1:39">
      <c r="A46" s="7" t="s">
        <v>127</v>
      </c>
      <c r="B46" s="7" t="s">
        <v>42</v>
      </c>
      <c r="C46" s="7" t="s">
        <v>128</v>
      </c>
      <c r="D46" s="36">
        <v>47</v>
      </c>
      <c r="E46" s="37">
        <v>10</v>
      </c>
      <c r="F46" s="37">
        <v>3</v>
      </c>
      <c r="G46" s="37">
        <v>3</v>
      </c>
      <c r="H46" s="37">
        <v>3</v>
      </c>
      <c r="I46" s="37">
        <v>6</v>
      </c>
      <c r="J46" s="37">
        <v>3</v>
      </c>
      <c r="K46" s="19">
        <v>-0.1188</v>
      </c>
      <c r="L46" s="52">
        <v>47994.3</v>
      </c>
      <c r="M46" s="52">
        <v>3211.58</v>
      </c>
      <c r="N46" s="48">
        <v>1.88</v>
      </c>
      <c r="O46" s="52">
        <v>342610.92</v>
      </c>
      <c r="P46" s="52">
        <v>297827.61</v>
      </c>
      <c r="Q46" s="52">
        <v>44783.040000000001</v>
      </c>
      <c r="R46" s="48">
        <v>28.75</v>
      </c>
      <c r="S46" s="52">
        <v>46083.5</v>
      </c>
      <c r="T46" s="52">
        <v>2548.3000000000002</v>
      </c>
      <c r="U46" s="48">
        <v>1.49</v>
      </c>
      <c r="V46" s="52">
        <v>325930.84999999998</v>
      </c>
      <c r="W46" s="52">
        <v>281495.57</v>
      </c>
      <c r="X46" s="52">
        <v>44434.99</v>
      </c>
      <c r="Y46" s="48">
        <v>20</v>
      </c>
      <c r="Z46" s="52">
        <v>23634.71</v>
      </c>
      <c r="AA46" s="52">
        <v>4633.8599999999997</v>
      </c>
      <c r="AB46" s="48">
        <v>2.71</v>
      </c>
      <c r="AC46" s="52">
        <v>315342.7</v>
      </c>
      <c r="AD46" s="52">
        <v>267279.12</v>
      </c>
      <c r="AE46" s="52">
        <v>48063.26</v>
      </c>
      <c r="AF46" s="48">
        <v>21.1</v>
      </c>
      <c r="AG46" s="52">
        <v>23348.63</v>
      </c>
      <c r="AH46" s="52">
        <v>6968.38</v>
      </c>
      <c r="AI46" s="48">
        <v>4.08</v>
      </c>
      <c r="AJ46" s="52">
        <v>315972.92</v>
      </c>
      <c r="AK46" s="52">
        <v>260776.89</v>
      </c>
      <c r="AL46" s="52">
        <v>55195.7</v>
      </c>
      <c r="AM46" s="48">
        <v>20.100000000000001</v>
      </c>
    </row>
    <row r="47" spans="1:39">
      <c r="A47" s="38" t="s">
        <v>172</v>
      </c>
      <c r="B47" s="38" t="s">
        <v>46</v>
      </c>
      <c r="C47" s="38" t="s">
        <v>171</v>
      </c>
      <c r="D47" s="39">
        <v>44</v>
      </c>
      <c r="E47" s="41">
        <v>8</v>
      </c>
      <c r="F47" s="41">
        <v>5</v>
      </c>
      <c r="G47" s="41">
        <v>9</v>
      </c>
      <c r="H47" s="41">
        <v>3</v>
      </c>
      <c r="I47" s="41">
        <v>7</v>
      </c>
      <c r="J47" s="41">
        <v>10</v>
      </c>
      <c r="K47" s="40">
        <v>0.76290000000000002</v>
      </c>
      <c r="L47" s="52">
        <v>2965.41</v>
      </c>
      <c r="M47" s="48">
        <v>394.1</v>
      </c>
      <c r="N47" s="48">
        <v>0.66</v>
      </c>
      <c r="O47" s="52">
        <v>4319.62</v>
      </c>
      <c r="P47" s="48">
        <v>598.76</v>
      </c>
      <c r="Q47" s="52">
        <v>3660.65</v>
      </c>
      <c r="R47" s="48">
        <v>6.45</v>
      </c>
      <c r="S47" s="52">
        <v>2546.35</v>
      </c>
      <c r="T47" s="48">
        <v>183.23</v>
      </c>
      <c r="U47" s="48">
        <v>0.27</v>
      </c>
      <c r="V47" s="52">
        <v>4366.57</v>
      </c>
      <c r="W47" s="48">
        <v>662.4</v>
      </c>
      <c r="X47" s="52">
        <v>3645.49</v>
      </c>
      <c r="Y47" s="48">
        <v>3.38</v>
      </c>
      <c r="Z47" s="52">
        <v>2568.06</v>
      </c>
      <c r="AA47" s="48">
        <v>380.17</v>
      </c>
      <c r="AB47" s="48">
        <v>0.56999999999999995</v>
      </c>
      <c r="AC47" s="52">
        <v>4532.8500000000004</v>
      </c>
      <c r="AD47" s="48">
        <v>563.25</v>
      </c>
      <c r="AE47" s="52">
        <v>3911.44</v>
      </c>
      <c r="AF47" s="48">
        <v>3.42</v>
      </c>
      <c r="AG47" s="52">
        <v>2075.9</v>
      </c>
      <c r="AH47" s="48">
        <v>275.12</v>
      </c>
      <c r="AI47" s="48">
        <v>0.41</v>
      </c>
      <c r="AJ47" s="52">
        <v>4511.46</v>
      </c>
      <c r="AK47" s="48">
        <v>522.15</v>
      </c>
      <c r="AL47" s="52">
        <v>3929.43</v>
      </c>
      <c r="AM47" s="48">
        <v>3.9</v>
      </c>
    </row>
    <row r="48" spans="1:39">
      <c r="A48" s="7" t="s">
        <v>177</v>
      </c>
      <c r="B48" s="7" t="s">
        <v>46</v>
      </c>
      <c r="C48" s="7" t="s">
        <v>171</v>
      </c>
      <c r="D48" s="36">
        <v>39</v>
      </c>
      <c r="E48" s="37">
        <v>4</v>
      </c>
      <c r="F48" s="37">
        <v>3</v>
      </c>
      <c r="G48" s="37">
        <v>10</v>
      </c>
      <c r="H48" s="37">
        <v>3</v>
      </c>
      <c r="I48" s="37">
        <v>6</v>
      </c>
      <c r="J48" s="37">
        <v>10</v>
      </c>
      <c r="K48" s="19">
        <v>0.84970000000000001</v>
      </c>
      <c r="L48" s="52">
        <v>2909.32</v>
      </c>
      <c r="M48" s="48">
        <v>344.09</v>
      </c>
      <c r="N48" s="48">
        <v>1</v>
      </c>
      <c r="O48" s="52">
        <v>6068.57</v>
      </c>
      <c r="P48" s="48">
        <v>494.74</v>
      </c>
      <c r="Q48" s="52">
        <v>5572.38</v>
      </c>
      <c r="R48" s="48">
        <v>16.8</v>
      </c>
      <c r="S48" s="52">
        <v>2769.38</v>
      </c>
      <c r="T48" s="48">
        <v>343.72</v>
      </c>
      <c r="U48" s="48">
        <v>1</v>
      </c>
      <c r="V48" s="52">
        <v>6044.29</v>
      </c>
      <c r="W48" s="48">
        <v>404.19</v>
      </c>
      <c r="X48" s="52">
        <v>5640.07</v>
      </c>
      <c r="Y48" s="48">
        <v>15.9</v>
      </c>
      <c r="Z48" s="52">
        <v>2107.19</v>
      </c>
      <c r="AA48" s="48">
        <v>246.74</v>
      </c>
      <c r="AB48" s="48">
        <v>0.72</v>
      </c>
      <c r="AC48" s="52">
        <v>5983.64</v>
      </c>
      <c r="AD48" s="48">
        <v>372.8</v>
      </c>
      <c r="AE48" s="52">
        <v>5610.84</v>
      </c>
      <c r="AF48" s="48">
        <v>13.6</v>
      </c>
      <c r="AG48" s="52">
        <v>2379.52</v>
      </c>
      <c r="AH48" s="48">
        <v>319.89</v>
      </c>
      <c r="AI48" s="48">
        <v>0.93</v>
      </c>
      <c r="AJ48" s="52">
        <v>6252.94</v>
      </c>
      <c r="AK48" s="48">
        <v>474.74</v>
      </c>
      <c r="AL48" s="52">
        <v>5778.2</v>
      </c>
      <c r="AM48" s="48">
        <v>11</v>
      </c>
    </row>
    <row r="49" spans="1:39">
      <c r="A49" s="38" t="s">
        <v>170</v>
      </c>
      <c r="B49" s="38" t="s">
        <v>46</v>
      </c>
      <c r="C49" s="38" t="s">
        <v>171</v>
      </c>
      <c r="D49" s="39">
        <v>45</v>
      </c>
      <c r="E49" s="41">
        <v>9</v>
      </c>
      <c r="F49" s="41">
        <v>3</v>
      </c>
      <c r="G49" s="41">
        <v>6</v>
      </c>
      <c r="H49" s="41">
        <v>6</v>
      </c>
      <c r="I49" s="41">
        <v>4</v>
      </c>
      <c r="J49" s="41">
        <v>6</v>
      </c>
      <c r="K49" s="40">
        <v>1.1224000000000001</v>
      </c>
      <c r="L49" s="52">
        <v>1794.01</v>
      </c>
      <c r="M49" s="48">
        <v>15.81</v>
      </c>
      <c r="N49" s="48">
        <v>0.03</v>
      </c>
      <c r="O49" s="52">
        <v>1285.77</v>
      </c>
      <c r="P49" s="48">
        <v>606.77</v>
      </c>
      <c r="Q49" s="48">
        <v>677.18</v>
      </c>
      <c r="R49" s="48">
        <v>1.51</v>
      </c>
      <c r="S49" s="52">
        <v>1820.51</v>
      </c>
      <c r="T49" s="48">
        <v>17.3</v>
      </c>
      <c r="U49" s="48">
        <v>0.03</v>
      </c>
      <c r="V49" s="52">
        <v>1369.33</v>
      </c>
      <c r="W49" s="48">
        <v>674.03</v>
      </c>
      <c r="X49" s="48">
        <v>693.49</v>
      </c>
      <c r="Y49" s="48">
        <v>1.32</v>
      </c>
      <c r="Z49" s="52">
        <v>1512.24</v>
      </c>
      <c r="AA49" s="48">
        <v>23.92</v>
      </c>
      <c r="AB49" s="48">
        <v>0.04</v>
      </c>
      <c r="AC49" s="52">
        <v>1252.07</v>
      </c>
      <c r="AD49" s="48">
        <v>537.39</v>
      </c>
      <c r="AE49" s="48">
        <v>712.71</v>
      </c>
      <c r="AF49" s="48">
        <v>0.89</v>
      </c>
      <c r="AG49" s="52">
        <v>1358.19</v>
      </c>
      <c r="AH49" s="48">
        <v>37.61</v>
      </c>
      <c r="AI49" s="48">
        <v>0.06</v>
      </c>
      <c r="AJ49" s="52">
        <v>1164.5</v>
      </c>
      <c r="AK49" s="48">
        <v>427.93</v>
      </c>
      <c r="AL49" s="48">
        <v>734.46</v>
      </c>
      <c r="AM49" s="48">
        <v>0.61</v>
      </c>
    </row>
    <row r="50" spans="1:39">
      <c r="A50" s="7" t="s">
        <v>178</v>
      </c>
      <c r="B50" s="7" t="s">
        <v>46</v>
      </c>
      <c r="C50" s="7" t="s">
        <v>167</v>
      </c>
      <c r="D50" s="36">
        <v>38</v>
      </c>
      <c r="E50" s="37">
        <v>2</v>
      </c>
      <c r="F50" s="37">
        <v>3</v>
      </c>
      <c r="G50" s="37">
        <v>6</v>
      </c>
      <c r="H50" s="37">
        <v>3</v>
      </c>
      <c r="I50" s="37">
        <v>6</v>
      </c>
      <c r="J50" s="37">
        <v>6</v>
      </c>
      <c r="K50" s="19">
        <v>1.3933</v>
      </c>
      <c r="L50" s="52">
        <v>3118.52</v>
      </c>
      <c r="M50" s="48">
        <v>103.33</v>
      </c>
      <c r="N50" s="48">
        <v>0.19</v>
      </c>
      <c r="O50" s="52">
        <v>2920.63</v>
      </c>
      <c r="P50" s="52">
        <v>1336.89</v>
      </c>
      <c r="Q50" s="52">
        <v>1610.58</v>
      </c>
      <c r="R50" s="48">
        <v>3.48</v>
      </c>
      <c r="S50" s="52">
        <v>3466.57</v>
      </c>
      <c r="T50" s="48">
        <v>168.4</v>
      </c>
      <c r="U50" s="48">
        <v>0.31</v>
      </c>
      <c r="V50" s="52">
        <v>3331.49</v>
      </c>
      <c r="W50" s="52">
        <v>1752.86</v>
      </c>
      <c r="X50" s="52">
        <v>1608.69</v>
      </c>
      <c r="Y50" s="48">
        <v>3.8</v>
      </c>
      <c r="Z50" s="52">
        <v>3198.43</v>
      </c>
      <c r="AA50" s="48">
        <v>70.400000000000006</v>
      </c>
      <c r="AB50" s="48">
        <v>0.13</v>
      </c>
      <c r="AC50" s="52">
        <v>3444.32</v>
      </c>
      <c r="AD50" s="52">
        <v>1565.75</v>
      </c>
      <c r="AE50" s="52">
        <v>1905.96</v>
      </c>
      <c r="AF50" s="48">
        <v>3.06</v>
      </c>
      <c r="AG50" s="52">
        <v>3379.23</v>
      </c>
      <c r="AH50" s="48">
        <v>219.22</v>
      </c>
      <c r="AI50" s="48">
        <v>0.42</v>
      </c>
      <c r="AJ50" s="52">
        <v>4442.67</v>
      </c>
      <c r="AK50" s="52">
        <v>2426.7399999999998</v>
      </c>
      <c r="AL50" s="52">
        <v>1982.97</v>
      </c>
      <c r="AM50" s="48">
        <v>3.52</v>
      </c>
    </row>
    <row r="51" spans="1:39">
      <c r="A51" s="38" t="s">
        <v>166</v>
      </c>
      <c r="B51" s="38" t="s">
        <v>46</v>
      </c>
      <c r="C51" s="38" t="s">
        <v>167</v>
      </c>
      <c r="D51" s="39">
        <v>48</v>
      </c>
      <c r="E51" s="41">
        <v>9</v>
      </c>
      <c r="F51" s="41">
        <v>10</v>
      </c>
      <c r="G51" s="41">
        <v>7</v>
      </c>
      <c r="H51" s="41">
        <v>10</v>
      </c>
      <c r="I51" s="41">
        <v>8</v>
      </c>
      <c r="J51" s="41">
        <v>8</v>
      </c>
      <c r="K51" s="40">
        <v>0.61599999999999999</v>
      </c>
      <c r="L51" s="52">
        <v>2120.96</v>
      </c>
      <c r="M51" s="48">
        <v>160.52000000000001</v>
      </c>
      <c r="N51" s="48">
        <v>0.11</v>
      </c>
      <c r="O51" s="52">
        <v>2208.9699999999998</v>
      </c>
      <c r="P51" s="48">
        <v>833.6</v>
      </c>
      <c r="Q51" s="52">
        <v>1375.07</v>
      </c>
      <c r="R51" s="48">
        <v>0.88</v>
      </c>
      <c r="S51" s="52">
        <v>2300.96</v>
      </c>
      <c r="T51" s="48">
        <v>220.51</v>
      </c>
      <c r="U51" s="48">
        <v>0.15</v>
      </c>
      <c r="V51" s="52">
        <v>2247.13</v>
      </c>
      <c r="W51" s="48">
        <v>751.87</v>
      </c>
      <c r="X51" s="52">
        <v>1494.78</v>
      </c>
      <c r="Y51" s="48">
        <v>0.83</v>
      </c>
      <c r="Z51" s="52">
        <v>2587.2600000000002</v>
      </c>
      <c r="AA51" s="48">
        <v>279.98</v>
      </c>
      <c r="AB51" s="48">
        <v>0.19</v>
      </c>
      <c r="AC51" s="52">
        <v>2381.59</v>
      </c>
      <c r="AD51" s="48">
        <v>700.67</v>
      </c>
      <c r="AE51" s="52">
        <v>1679.48</v>
      </c>
      <c r="AF51" s="48">
        <v>1.02</v>
      </c>
      <c r="AG51" s="52">
        <v>1981.32</v>
      </c>
      <c r="AH51" s="48">
        <v>189.32</v>
      </c>
      <c r="AI51" s="48">
        <v>0.13</v>
      </c>
      <c r="AJ51" s="52">
        <v>2188.42</v>
      </c>
      <c r="AK51" s="48">
        <v>486.51</v>
      </c>
      <c r="AL51" s="52">
        <v>1700.5</v>
      </c>
      <c r="AM51" s="48">
        <v>0.87</v>
      </c>
    </row>
    <row r="52" spans="1:39">
      <c r="A52" s="7" t="s">
        <v>169</v>
      </c>
      <c r="B52" s="7" t="s">
        <v>46</v>
      </c>
      <c r="C52" s="7" t="s">
        <v>167</v>
      </c>
      <c r="D52" s="36">
        <v>46</v>
      </c>
      <c r="E52" s="37">
        <v>9</v>
      </c>
      <c r="F52" s="37">
        <v>10</v>
      </c>
      <c r="G52" s="37">
        <v>5</v>
      </c>
      <c r="H52" s="37">
        <v>6</v>
      </c>
      <c r="I52" s="37">
        <v>7</v>
      </c>
      <c r="J52" s="37">
        <v>5</v>
      </c>
      <c r="K52" s="19">
        <v>0.35720000000000002</v>
      </c>
      <c r="L52" s="52">
        <v>4860.88</v>
      </c>
      <c r="M52" s="48">
        <v>283.79000000000002</v>
      </c>
      <c r="N52" s="48">
        <v>0.28999999999999998</v>
      </c>
      <c r="O52" s="52">
        <v>6839.78</v>
      </c>
      <c r="P52" s="52">
        <v>3662.49</v>
      </c>
      <c r="Q52" s="52">
        <v>3075.41</v>
      </c>
      <c r="R52" s="48">
        <v>3.32</v>
      </c>
      <c r="S52" s="52">
        <v>4630.66</v>
      </c>
      <c r="T52" s="48">
        <v>323.83999999999997</v>
      </c>
      <c r="U52" s="48">
        <v>0.26</v>
      </c>
      <c r="V52" s="52">
        <v>6576.97</v>
      </c>
      <c r="W52" s="52">
        <v>3311.43</v>
      </c>
      <c r="X52" s="52">
        <v>3153.18</v>
      </c>
      <c r="Y52" s="48">
        <v>3</v>
      </c>
      <c r="Z52" s="52">
        <v>5568.2</v>
      </c>
      <c r="AA52" s="48">
        <v>357.35</v>
      </c>
      <c r="AB52" s="48">
        <v>0.28999999999999998</v>
      </c>
      <c r="AC52" s="52">
        <v>6494.62</v>
      </c>
      <c r="AD52" s="52">
        <v>3116.52</v>
      </c>
      <c r="AE52" s="52">
        <v>3254.34</v>
      </c>
      <c r="AF52" s="48">
        <v>2.74</v>
      </c>
      <c r="AG52" s="52">
        <v>4087.49</v>
      </c>
      <c r="AH52" s="48">
        <v>400.94</v>
      </c>
      <c r="AI52" s="48">
        <v>0.33</v>
      </c>
      <c r="AJ52" s="52">
        <v>5471.89</v>
      </c>
      <c r="AK52" s="52">
        <v>1951.89</v>
      </c>
      <c r="AL52" s="52">
        <v>3390.22</v>
      </c>
      <c r="AM52" s="48">
        <v>2.64</v>
      </c>
    </row>
    <row r="53" spans="1:39">
      <c r="A53" s="38" t="s">
        <v>173</v>
      </c>
      <c r="B53" s="38" t="s">
        <v>46</v>
      </c>
      <c r="C53" s="38" t="s">
        <v>174</v>
      </c>
      <c r="D53" s="39">
        <v>43</v>
      </c>
      <c r="E53" s="41">
        <v>7</v>
      </c>
      <c r="F53" s="41">
        <v>5</v>
      </c>
      <c r="G53" s="41">
        <v>10</v>
      </c>
      <c r="H53" s="41">
        <v>3</v>
      </c>
      <c r="I53" s="41">
        <v>9</v>
      </c>
      <c r="J53" s="41">
        <v>10</v>
      </c>
      <c r="K53" s="40">
        <v>1.1841999999999999</v>
      </c>
      <c r="L53" s="52">
        <v>4979.66</v>
      </c>
      <c r="M53" s="48">
        <v>739</v>
      </c>
      <c r="N53" s="48">
        <v>1.1399999999999999</v>
      </c>
      <c r="O53" s="52">
        <v>4609.8500000000004</v>
      </c>
      <c r="P53" s="48">
        <v>491.19</v>
      </c>
      <c r="Q53" s="52">
        <v>4118.66</v>
      </c>
      <c r="R53" s="48">
        <v>16.5</v>
      </c>
      <c r="S53" s="52">
        <v>4191.84</v>
      </c>
      <c r="T53" s="48">
        <v>876.35</v>
      </c>
      <c r="U53" s="48">
        <v>1.35</v>
      </c>
      <c r="V53" s="52">
        <v>5047.58</v>
      </c>
      <c r="W53" s="48">
        <v>442.57</v>
      </c>
      <c r="X53" s="52">
        <v>4605.01</v>
      </c>
      <c r="Y53" s="48">
        <v>11.9</v>
      </c>
      <c r="Z53" s="52">
        <v>3980.86</v>
      </c>
      <c r="AA53" s="48">
        <v>619.69000000000005</v>
      </c>
      <c r="AB53" s="48">
        <v>0.95</v>
      </c>
      <c r="AC53" s="52">
        <v>5178.01</v>
      </c>
      <c r="AD53" s="48">
        <v>489.24</v>
      </c>
      <c r="AE53" s="52">
        <v>4688.7700000000004</v>
      </c>
      <c r="AF53" s="48">
        <v>7.85</v>
      </c>
      <c r="AG53" s="52">
        <v>3769.71</v>
      </c>
      <c r="AH53" s="48">
        <v>511.58</v>
      </c>
      <c r="AI53" s="48">
        <v>0.79</v>
      </c>
      <c r="AJ53" s="52">
        <v>5256.35</v>
      </c>
      <c r="AK53" s="48">
        <v>446</v>
      </c>
      <c r="AL53" s="52">
        <v>4810.3500000000004</v>
      </c>
      <c r="AM53" s="48">
        <v>7.5</v>
      </c>
    </row>
    <row r="54" spans="1:39">
      <c r="A54" s="7" t="s">
        <v>179</v>
      </c>
      <c r="B54" s="7" t="s">
        <v>46</v>
      </c>
      <c r="C54" s="7" t="s">
        <v>176</v>
      </c>
      <c r="D54" s="36">
        <v>35</v>
      </c>
      <c r="E54" s="37">
        <v>10</v>
      </c>
      <c r="F54" s="37">
        <v>3</v>
      </c>
      <c r="G54" s="37">
        <v>3</v>
      </c>
      <c r="H54" s="37">
        <v>3</v>
      </c>
      <c r="I54" s="37">
        <v>4</v>
      </c>
      <c r="J54" s="37">
        <v>3</v>
      </c>
      <c r="K54" s="19">
        <v>0.1961</v>
      </c>
      <c r="L54" s="52">
        <v>665548.56999999995</v>
      </c>
      <c r="M54" s="52">
        <v>31006.080000000002</v>
      </c>
      <c r="N54" s="48">
        <v>5.39</v>
      </c>
      <c r="O54" s="52">
        <v>623878.39</v>
      </c>
      <c r="P54" s="52">
        <v>422993.01</v>
      </c>
      <c r="Q54" s="52">
        <v>185989.67</v>
      </c>
      <c r="R54" s="48">
        <v>40.75</v>
      </c>
      <c r="S54" s="52">
        <v>547731.79</v>
      </c>
      <c r="T54" s="52">
        <v>-10797.94</v>
      </c>
      <c r="U54" s="48">
        <v>-2.06</v>
      </c>
      <c r="V54" s="52">
        <v>590131.97</v>
      </c>
      <c r="W54" s="52">
        <v>412064.05</v>
      </c>
      <c r="X54" s="52">
        <v>164362.29</v>
      </c>
      <c r="Y54" s="48">
        <v>27.35</v>
      </c>
      <c r="Z54" s="52">
        <v>546923.75</v>
      </c>
      <c r="AA54" s="52">
        <v>-19262.13</v>
      </c>
      <c r="AB54" s="48">
        <v>-3.65</v>
      </c>
      <c r="AC54" s="52">
        <v>541551.71</v>
      </c>
      <c r="AD54" s="52">
        <v>402622.11</v>
      </c>
      <c r="AE54" s="52">
        <v>125950.94</v>
      </c>
      <c r="AF54" s="48">
        <v>24.9</v>
      </c>
      <c r="AG54" s="52">
        <v>454519.57</v>
      </c>
      <c r="AH54" s="52">
        <v>-7348.39</v>
      </c>
      <c r="AI54" s="48">
        <v>-1.47</v>
      </c>
      <c r="AJ54" s="52">
        <v>523479.8</v>
      </c>
      <c r="AK54" s="52">
        <v>394529.3</v>
      </c>
      <c r="AL54" s="52">
        <v>117526.77</v>
      </c>
      <c r="AM54" s="48">
        <v>16.100000000000001</v>
      </c>
    </row>
    <row r="55" spans="1:39">
      <c r="A55" s="38" t="s">
        <v>180</v>
      </c>
      <c r="B55" s="38" t="s">
        <v>46</v>
      </c>
      <c r="C55" s="38" t="s">
        <v>176</v>
      </c>
      <c r="D55" s="39">
        <v>35</v>
      </c>
      <c r="E55" s="41">
        <v>10</v>
      </c>
      <c r="F55" s="41">
        <v>3</v>
      </c>
      <c r="G55" s="41">
        <v>3</v>
      </c>
      <c r="H55" s="41">
        <v>3</v>
      </c>
      <c r="I55" s="41">
        <v>4</v>
      </c>
      <c r="J55" s="41">
        <v>3</v>
      </c>
      <c r="K55" s="40">
        <v>0.1255</v>
      </c>
      <c r="L55" s="52">
        <v>665548.56999999995</v>
      </c>
      <c r="M55" s="58">
        <v>31006.080000000002</v>
      </c>
      <c r="N55" s="50">
        <v>5.39</v>
      </c>
      <c r="O55" s="58">
        <v>623878.39</v>
      </c>
      <c r="P55" s="58">
        <v>422993.01</v>
      </c>
      <c r="Q55" s="58">
        <v>185989.67</v>
      </c>
      <c r="R55" s="50">
        <v>40.75</v>
      </c>
      <c r="S55" s="58">
        <v>547731.79</v>
      </c>
      <c r="T55" s="58">
        <v>-10797.94</v>
      </c>
      <c r="U55" s="50">
        <v>-2.06</v>
      </c>
      <c r="V55" s="58">
        <v>590131.97</v>
      </c>
      <c r="W55" s="58">
        <v>412064.05</v>
      </c>
      <c r="X55" s="58">
        <v>164362.29</v>
      </c>
      <c r="Y55" s="50">
        <v>27.35</v>
      </c>
      <c r="Z55" s="58">
        <v>546923.75</v>
      </c>
      <c r="AA55" s="58">
        <v>-19262.13</v>
      </c>
      <c r="AB55" s="50">
        <v>-3.65</v>
      </c>
      <c r="AC55" s="58">
        <v>541551.71</v>
      </c>
      <c r="AD55" s="58">
        <v>402622.11</v>
      </c>
      <c r="AE55" s="58">
        <v>125950.94</v>
      </c>
      <c r="AF55" s="50">
        <v>24.9</v>
      </c>
      <c r="AG55" s="58">
        <v>454519.57</v>
      </c>
      <c r="AH55" s="58">
        <v>-7348.39</v>
      </c>
      <c r="AI55" s="50">
        <v>-1.47</v>
      </c>
      <c r="AJ55" s="58">
        <v>523479.8</v>
      </c>
      <c r="AK55" s="58">
        <v>394529.3</v>
      </c>
      <c r="AL55" s="58">
        <v>117526.77</v>
      </c>
      <c r="AM55" s="50">
        <v>16.100000000000001</v>
      </c>
    </row>
    <row r="56" spans="1:39">
      <c r="A56" s="7" t="s">
        <v>175</v>
      </c>
      <c r="B56" s="7" t="s">
        <v>46</v>
      </c>
      <c r="C56" s="7" t="s">
        <v>176</v>
      </c>
      <c r="D56" s="36">
        <v>40</v>
      </c>
      <c r="E56" s="37">
        <v>5</v>
      </c>
      <c r="F56" s="37">
        <v>10</v>
      </c>
      <c r="G56" s="37">
        <v>3</v>
      </c>
      <c r="H56" s="37">
        <v>6</v>
      </c>
      <c r="I56" s="37">
        <v>10</v>
      </c>
      <c r="J56" s="37">
        <v>3</v>
      </c>
      <c r="K56" s="19">
        <v>0.28179999999999999</v>
      </c>
      <c r="L56" s="52">
        <v>5532.09</v>
      </c>
      <c r="M56" s="48">
        <v>163.37</v>
      </c>
      <c r="N56" s="48">
        <v>0.37</v>
      </c>
      <c r="O56" s="52">
        <v>1835.8</v>
      </c>
      <c r="P56" s="52">
        <v>1260.55</v>
      </c>
      <c r="Q56" s="48">
        <v>575.25</v>
      </c>
      <c r="R56" s="48">
        <v>5.55</v>
      </c>
      <c r="S56" s="52">
        <v>5111.3</v>
      </c>
      <c r="T56" s="48">
        <v>186.29</v>
      </c>
      <c r="U56" s="48">
        <v>0.42</v>
      </c>
      <c r="V56" s="52">
        <v>1841.76</v>
      </c>
      <c r="W56" s="52">
        <v>1235.3499999999999</v>
      </c>
      <c r="X56" s="48">
        <v>606.41</v>
      </c>
      <c r="Y56" s="48">
        <v>5.35</v>
      </c>
      <c r="Z56" s="52">
        <v>5921.9</v>
      </c>
      <c r="AA56" s="48">
        <v>190.7</v>
      </c>
      <c r="AB56" s="48">
        <v>0.43</v>
      </c>
      <c r="AC56" s="52">
        <v>2015.06</v>
      </c>
      <c r="AD56" s="52">
        <v>1376.34</v>
      </c>
      <c r="AE56" s="48">
        <v>638.72</v>
      </c>
      <c r="AF56" s="48">
        <v>5</v>
      </c>
      <c r="AG56" s="52">
        <v>5192.75</v>
      </c>
      <c r="AH56" s="48">
        <v>195.4</v>
      </c>
      <c r="AI56" s="48">
        <v>0.44</v>
      </c>
      <c r="AJ56" s="52">
        <v>1795.15</v>
      </c>
      <c r="AK56" s="52">
        <v>1135.1400000000001</v>
      </c>
      <c r="AL56" s="48">
        <v>660.01</v>
      </c>
      <c r="AM56" s="48">
        <v>4</v>
      </c>
    </row>
    <row r="57" spans="1:39">
      <c r="A57" s="38" t="s">
        <v>168</v>
      </c>
      <c r="B57" s="38" t="s">
        <v>46</v>
      </c>
      <c r="C57" s="38" t="s">
        <v>164</v>
      </c>
      <c r="D57" s="39">
        <v>47</v>
      </c>
      <c r="E57" s="41">
        <v>6</v>
      </c>
      <c r="F57" s="41">
        <v>7</v>
      </c>
      <c r="G57" s="41">
        <v>9</v>
      </c>
      <c r="H57" s="41">
        <v>3</v>
      </c>
      <c r="I57" s="41">
        <v>7</v>
      </c>
      <c r="J57" s="41">
        <v>10</v>
      </c>
      <c r="K57" s="40">
        <v>1.1440999999999999</v>
      </c>
      <c r="L57" s="52">
        <v>2301.69</v>
      </c>
      <c r="M57" s="48">
        <v>311.62</v>
      </c>
      <c r="N57" s="48">
        <v>2.08</v>
      </c>
      <c r="O57" s="52">
        <v>3661.26</v>
      </c>
      <c r="P57" s="48">
        <v>286.88</v>
      </c>
      <c r="Q57" s="52">
        <v>3135.22</v>
      </c>
      <c r="R57" s="48">
        <v>26</v>
      </c>
      <c r="S57" s="52">
        <v>1869.1</v>
      </c>
      <c r="T57" s="48">
        <v>314.33999999999997</v>
      </c>
      <c r="U57" s="48">
        <v>2.1</v>
      </c>
      <c r="V57" s="52">
        <v>3641.09</v>
      </c>
      <c r="W57" s="48">
        <v>257.38</v>
      </c>
      <c r="X57" s="52">
        <v>3142.2</v>
      </c>
      <c r="Y57" s="48">
        <v>25</v>
      </c>
      <c r="Z57" s="52">
        <v>1934.2</v>
      </c>
      <c r="AA57" s="48">
        <v>330.67</v>
      </c>
      <c r="AB57" s="48">
        <v>2.2000000000000002</v>
      </c>
      <c r="AC57" s="52">
        <v>3756.68</v>
      </c>
      <c r="AD57" s="48">
        <v>271.06</v>
      </c>
      <c r="AE57" s="52">
        <v>3239.18</v>
      </c>
      <c r="AF57" s="48">
        <v>25</v>
      </c>
      <c r="AG57" s="52">
        <v>1876.95</v>
      </c>
      <c r="AH57" s="48">
        <v>373.77</v>
      </c>
      <c r="AI57" s="48">
        <v>2.4900000000000002</v>
      </c>
      <c r="AJ57" s="52">
        <v>3918.7</v>
      </c>
      <c r="AK57" s="48">
        <v>294.48</v>
      </c>
      <c r="AL57" s="52">
        <v>3371.52</v>
      </c>
      <c r="AM57" s="48">
        <v>26</v>
      </c>
    </row>
    <row r="58" spans="1:39">
      <c r="A58" s="7" t="s">
        <v>165</v>
      </c>
      <c r="B58" s="7" t="s">
        <v>46</v>
      </c>
      <c r="C58" s="7" t="s">
        <v>164</v>
      </c>
      <c r="D58" s="36">
        <v>49</v>
      </c>
      <c r="E58" s="37">
        <v>8</v>
      </c>
      <c r="F58" s="37">
        <v>5</v>
      </c>
      <c r="G58" s="37">
        <v>9</v>
      </c>
      <c r="H58" s="37">
        <v>6</v>
      </c>
      <c r="I58" s="37">
        <v>6</v>
      </c>
      <c r="J58" s="37">
        <v>9</v>
      </c>
      <c r="K58" s="19">
        <v>0.74729999999999996</v>
      </c>
      <c r="L58" s="52">
        <v>3751.34</v>
      </c>
      <c r="M58" s="48">
        <v>246</v>
      </c>
      <c r="N58" s="48">
        <v>4.7300000000000004</v>
      </c>
      <c r="O58" s="52">
        <v>4712.66</v>
      </c>
      <c r="P58" s="48">
        <v>765.75</v>
      </c>
      <c r="Q58" s="52">
        <v>3946.92</v>
      </c>
      <c r="R58" s="48">
        <v>48.25</v>
      </c>
      <c r="S58" s="52">
        <v>3620.08</v>
      </c>
      <c r="T58" s="48">
        <v>177.39</v>
      </c>
      <c r="U58" s="48">
        <v>3.41</v>
      </c>
      <c r="V58" s="52">
        <v>4808.66</v>
      </c>
      <c r="W58" s="48">
        <v>835.12</v>
      </c>
      <c r="X58" s="52">
        <v>3973.54</v>
      </c>
      <c r="Y58" s="48">
        <v>44.75</v>
      </c>
      <c r="Z58" s="52">
        <v>3770.3</v>
      </c>
      <c r="AA58" s="48">
        <v>287.27</v>
      </c>
      <c r="AB58" s="48">
        <v>5.52</v>
      </c>
      <c r="AC58" s="52">
        <v>5079.63</v>
      </c>
      <c r="AD58" s="48">
        <v>883.97</v>
      </c>
      <c r="AE58" s="52">
        <v>4195.66</v>
      </c>
      <c r="AF58" s="48">
        <v>46</v>
      </c>
      <c r="AG58" s="52">
        <v>3658.93</v>
      </c>
      <c r="AH58" s="48">
        <v>240.94</v>
      </c>
      <c r="AI58" s="48">
        <v>4.63</v>
      </c>
      <c r="AJ58" s="52">
        <v>5192.6099999999997</v>
      </c>
      <c r="AK58" s="48">
        <v>919.54</v>
      </c>
      <c r="AL58" s="52">
        <v>4273.07</v>
      </c>
      <c r="AM58" s="48">
        <v>44.5</v>
      </c>
    </row>
    <row r="59" spans="1:39">
      <c r="A59" s="38" t="s">
        <v>163</v>
      </c>
      <c r="B59" s="38" t="s">
        <v>46</v>
      </c>
      <c r="C59" s="38" t="s">
        <v>164</v>
      </c>
      <c r="D59" s="39">
        <v>52</v>
      </c>
      <c r="E59" s="41">
        <v>7</v>
      </c>
      <c r="F59" s="41">
        <v>3</v>
      </c>
      <c r="G59" s="41">
        <v>9</v>
      </c>
      <c r="H59" s="41">
        <v>5</v>
      </c>
      <c r="I59" s="41">
        <v>7</v>
      </c>
      <c r="J59" s="41">
        <v>10</v>
      </c>
      <c r="K59" s="40">
        <v>1.0044999999999999</v>
      </c>
      <c r="L59" s="52">
        <v>7141.03</v>
      </c>
      <c r="M59" s="48">
        <v>659.41</v>
      </c>
      <c r="N59" s="48">
        <v>15.26</v>
      </c>
      <c r="O59" s="52">
        <v>7339.96</v>
      </c>
      <c r="P59" s="48">
        <v>842.54</v>
      </c>
      <c r="Q59" s="52">
        <v>6497.42</v>
      </c>
      <c r="R59" s="48">
        <v>184</v>
      </c>
      <c r="S59" s="52">
        <v>6336.72</v>
      </c>
      <c r="T59" s="48">
        <v>506.49</v>
      </c>
      <c r="U59" s="48">
        <v>11.72</v>
      </c>
      <c r="V59" s="52">
        <v>7429.89</v>
      </c>
      <c r="W59" s="48">
        <v>847.43</v>
      </c>
      <c r="X59" s="52">
        <v>6582.46</v>
      </c>
      <c r="Y59" s="48">
        <v>179.5</v>
      </c>
      <c r="Z59" s="52">
        <v>6506.22</v>
      </c>
      <c r="AA59" s="48">
        <v>781.13</v>
      </c>
      <c r="AB59" s="48">
        <v>18.079999999999998</v>
      </c>
      <c r="AC59" s="52">
        <v>7962.38</v>
      </c>
      <c r="AD59" s="48">
        <v>942.54</v>
      </c>
      <c r="AE59" s="52">
        <v>7019.83</v>
      </c>
      <c r="AF59" s="48">
        <v>173</v>
      </c>
      <c r="AG59" s="52">
        <v>7352.03</v>
      </c>
      <c r="AH59" s="52">
        <v>1014.4</v>
      </c>
      <c r="AI59" s="48">
        <v>23.48</v>
      </c>
      <c r="AJ59" s="52">
        <v>8475.82</v>
      </c>
      <c r="AK59" s="48">
        <v>964.96</v>
      </c>
      <c r="AL59" s="52">
        <v>7510.86</v>
      </c>
      <c r="AM59" s="48">
        <v>196</v>
      </c>
    </row>
    <row r="60" spans="1:39">
      <c r="A60" s="7" t="s">
        <v>181</v>
      </c>
      <c r="B60" s="7" t="s">
        <v>46</v>
      </c>
      <c r="C60" s="7" t="s">
        <v>162</v>
      </c>
      <c r="D60" s="36">
        <v>35</v>
      </c>
      <c r="E60" s="37">
        <v>2</v>
      </c>
      <c r="F60" s="37">
        <v>3</v>
      </c>
      <c r="G60" s="37">
        <v>10</v>
      </c>
      <c r="H60" s="37">
        <v>6</v>
      </c>
      <c r="I60" s="37">
        <v>4</v>
      </c>
      <c r="J60" s="37">
        <v>10</v>
      </c>
      <c r="K60" s="19">
        <v>0.68910000000000005</v>
      </c>
      <c r="L60" s="52">
        <v>6753.27</v>
      </c>
      <c r="M60" s="48">
        <v>-122.18</v>
      </c>
      <c r="N60" s="48">
        <v>-0.23</v>
      </c>
      <c r="O60" s="52">
        <v>2286.02</v>
      </c>
      <c r="P60" s="48">
        <v>270.58999999999997</v>
      </c>
      <c r="Q60" s="52">
        <v>2017.83</v>
      </c>
      <c r="R60" s="48">
        <v>3.04</v>
      </c>
      <c r="S60" s="52">
        <v>6819.36</v>
      </c>
      <c r="T60" s="48">
        <v>160.08000000000001</v>
      </c>
      <c r="U60" s="48">
        <v>0.28999999999999998</v>
      </c>
      <c r="V60" s="52">
        <v>2180.29</v>
      </c>
      <c r="W60" s="48">
        <v>168.18</v>
      </c>
      <c r="X60" s="52">
        <v>2014.74</v>
      </c>
      <c r="Y60" s="48">
        <v>3.04</v>
      </c>
      <c r="Z60" s="52">
        <v>7495.54</v>
      </c>
      <c r="AA60" s="48">
        <v>23.58</v>
      </c>
      <c r="AB60" s="48">
        <v>0.04</v>
      </c>
      <c r="AC60" s="52">
        <v>2085.4499999999998</v>
      </c>
      <c r="AD60" s="48">
        <v>154.32</v>
      </c>
      <c r="AE60" s="52">
        <v>1934.12</v>
      </c>
      <c r="AF60" s="48">
        <v>2.76</v>
      </c>
      <c r="AG60" s="52">
        <v>7600.64</v>
      </c>
      <c r="AH60" s="48">
        <v>144.53</v>
      </c>
      <c r="AI60" s="48">
        <v>0.26</v>
      </c>
      <c r="AJ60" s="52">
        <v>2379.62</v>
      </c>
      <c r="AK60" s="48">
        <v>342.86</v>
      </c>
      <c r="AL60" s="52">
        <v>2039.83</v>
      </c>
      <c r="AM60" s="48">
        <v>2.34</v>
      </c>
    </row>
    <row r="61" spans="1:39">
      <c r="A61" s="38" t="s">
        <v>161</v>
      </c>
      <c r="B61" s="38" t="s">
        <v>46</v>
      </c>
      <c r="C61" s="38" t="s">
        <v>162</v>
      </c>
      <c r="D61" s="39">
        <v>58</v>
      </c>
      <c r="E61" s="41">
        <v>2</v>
      </c>
      <c r="F61" s="41">
        <v>3</v>
      </c>
      <c r="G61" s="41">
        <v>7</v>
      </c>
      <c r="H61" s="41">
        <v>10</v>
      </c>
      <c r="I61" s="41">
        <v>7</v>
      </c>
      <c r="J61" s="41">
        <v>7</v>
      </c>
      <c r="K61" s="40">
        <v>0.2356</v>
      </c>
      <c r="L61" s="52">
        <v>4014.92</v>
      </c>
      <c r="M61" s="48">
        <v>119.87</v>
      </c>
      <c r="N61" s="48">
        <v>0.25</v>
      </c>
      <c r="O61" s="52">
        <v>6797.49</v>
      </c>
      <c r="P61" s="52">
        <v>2853.99</v>
      </c>
      <c r="Q61" s="52">
        <v>3777.44</v>
      </c>
      <c r="R61" s="48">
        <v>8.9499999999999993</v>
      </c>
      <c r="S61" s="52">
        <v>5819.08</v>
      </c>
      <c r="T61" s="48">
        <v>164.61</v>
      </c>
      <c r="U61" s="48">
        <v>0.35</v>
      </c>
      <c r="V61" s="52">
        <v>5271.78</v>
      </c>
      <c r="W61" s="52">
        <v>1509.12</v>
      </c>
      <c r="X61" s="52">
        <v>3627.58</v>
      </c>
      <c r="Y61" s="48">
        <v>6.5</v>
      </c>
      <c r="Z61" s="52">
        <v>5687.1</v>
      </c>
      <c r="AA61" s="48">
        <v>678.6</v>
      </c>
      <c r="AB61" s="48">
        <v>1.42</v>
      </c>
      <c r="AC61" s="52">
        <v>6065.25</v>
      </c>
      <c r="AD61" s="52">
        <v>2306.0700000000002</v>
      </c>
      <c r="AE61" s="52">
        <v>3620.65</v>
      </c>
      <c r="AF61" s="48">
        <v>6.7</v>
      </c>
      <c r="AG61" s="52">
        <v>5254.37</v>
      </c>
      <c r="AH61" s="48">
        <v>960.01</v>
      </c>
      <c r="AI61" s="48">
        <v>2.0099999999999998</v>
      </c>
      <c r="AJ61" s="52">
        <v>5760.08</v>
      </c>
      <c r="AK61" s="52">
        <v>5760.08</v>
      </c>
      <c r="AL61" s="52">
        <v>5760.08</v>
      </c>
      <c r="AM61" s="48">
        <v>8.35</v>
      </c>
    </row>
    <row r="62" spans="1:39">
      <c r="A62" s="7" t="s">
        <v>99</v>
      </c>
      <c r="B62" s="7" t="s">
        <v>41</v>
      </c>
      <c r="C62" s="7" t="s">
        <v>97</v>
      </c>
      <c r="D62" s="36">
        <v>50</v>
      </c>
      <c r="E62" s="37">
        <v>6</v>
      </c>
      <c r="F62" s="37">
        <v>9</v>
      </c>
      <c r="G62" s="37">
        <v>8</v>
      </c>
      <c r="H62" s="37">
        <v>10</v>
      </c>
      <c r="I62" s="37">
        <v>6</v>
      </c>
      <c r="J62" s="37">
        <v>9</v>
      </c>
      <c r="K62" s="19">
        <v>1.1975</v>
      </c>
      <c r="L62" s="48">
        <v>353.74</v>
      </c>
      <c r="M62" s="48">
        <v>253.04</v>
      </c>
      <c r="N62" s="48">
        <v>0.51</v>
      </c>
      <c r="O62" s="52">
        <v>4767.8100000000004</v>
      </c>
      <c r="P62" s="52">
        <v>1235.18</v>
      </c>
      <c r="Q62" s="52">
        <v>3532.62</v>
      </c>
      <c r="R62" s="48">
        <v>6.55</v>
      </c>
      <c r="S62" s="48">
        <v>373.1</v>
      </c>
      <c r="T62" s="48">
        <v>258.7</v>
      </c>
      <c r="U62" s="48">
        <v>0.72</v>
      </c>
      <c r="V62" s="52">
        <v>4630.78</v>
      </c>
      <c r="W62" s="52">
        <v>1107.7</v>
      </c>
      <c r="X62" s="52">
        <v>3523.08</v>
      </c>
      <c r="Y62" s="48">
        <v>6.55</v>
      </c>
      <c r="Z62" s="48">
        <v>407.83</v>
      </c>
      <c r="AA62" s="48">
        <v>291.14</v>
      </c>
      <c r="AB62" s="48">
        <v>0.81</v>
      </c>
      <c r="AC62" s="52">
        <v>4632.96</v>
      </c>
      <c r="AD62" s="52">
        <v>1067.5899999999999</v>
      </c>
      <c r="AE62" s="52">
        <v>3565.37</v>
      </c>
      <c r="AF62" s="48">
        <v>6.6</v>
      </c>
      <c r="AG62" s="48">
        <v>418.36</v>
      </c>
      <c r="AH62" s="48">
        <v>301.37</v>
      </c>
      <c r="AI62" s="48">
        <v>0.84</v>
      </c>
      <c r="AJ62" s="52">
        <v>4669.08</v>
      </c>
      <c r="AK62" s="52">
        <v>1024.8900000000001</v>
      </c>
      <c r="AL62" s="52">
        <v>3644.2</v>
      </c>
      <c r="AM62" s="48">
        <v>6.75</v>
      </c>
    </row>
    <row r="63" spans="1:39">
      <c r="A63" s="38" t="s">
        <v>101</v>
      </c>
      <c r="B63" s="38" t="s">
        <v>41</v>
      </c>
      <c r="C63" s="38" t="s">
        <v>97</v>
      </c>
      <c r="D63" s="39">
        <v>40</v>
      </c>
      <c r="E63" s="41">
        <v>4</v>
      </c>
      <c r="F63" s="41">
        <v>5</v>
      </c>
      <c r="G63" s="41">
        <v>7</v>
      </c>
      <c r="H63" s="41">
        <v>6</v>
      </c>
      <c r="I63" s="41">
        <v>6</v>
      </c>
      <c r="J63" s="41">
        <v>8</v>
      </c>
      <c r="K63" s="40">
        <v>0.92989999999999995</v>
      </c>
      <c r="L63" s="52">
        <v>3645</v>
      </c>
      <c r="M63" s="52">
        <v>2518.9</v>
      </c>
      <c r="N63" s="48">
        <v>0.71</v>
      </c>
      <c r="O63" s="52">
        <v>46891.360000000001</v>
      </c>
      <c r="P63" s="52">
        <v>13683.88</v>
      </c>
      <c r="Q63" s="52">
        <v>33207.480000000003</v>
      </c>
      <c r="R63" s="48">
        <v>10.3</v>
      </c>
      <c r="S63" s="52">
        <v>3779.13</v>
      </c>
      <c r="T63" s="52">
        <v>2493.52</v>
      </c>
      <c r="U63" s="48">
        <v>0.76</v>
      </c>
      <c r="V63" s="52">
        <v>50400.31</v>
      </c>
      <c r="W63" s="52">
        <v>16632.2</v>
      </c>
      <c r="X63" s="52">
        <v>33768.11</v>
      </c>
      <c r="Y63" s="48">
        <v>10.7</v>
      </c>
      <c r="Z63" s="52">
        <v>3968.67</v>
      </c>
      <c r="AA63" s="52">
        <v>2558.0700000000002</v>
      </c>
      <c r="AB63" s="48">
        <v>0.78</v>
      </c>
      <c r="AC63" s="52">
        <v>51197.73</v>
      </c>
      <c r="AD63" s="52">
        <v>15364.38</v>
      </c>
      <c r="AE63" s="52">
        <v>35833.35</v>
      </c>
      <c r="AF63" s="48">
        <v>10.3</v>
      </c>
      <c r="AG63" s="52">
        <v>4241.9799999999996</v>
      </c>
      <c r="AH63" s="52">
        <v>2789.92</v>
      </c>
      <c r="AI63" s="48">
        <v>0.85</v>
      </c>
      <c r="AJ63" s="52">
        <v>53589.5</v>
      </c>
      <c r="AK63" s="52">
        <v>16774.04</v>
      </c>
      <c r="AL63" s="52">
        <v>36815.449999999997</v>
      </c>
      <c r="AM63" s="48">
        <v>11.8</v>
      </c>
    </row>
    <row r="64" spans="1:39">
      <c r="A64" s="7" t="s">
        <v>104</v>
      </c>
      <c r="B64" s="7" t="s">
        <v>41</v>
      </c>
      <c r="C64" s="7" t="s">
        <v>97</v>
      </c>
      <c r="D64" s="36">
        <v>34</v>
      </c>
      <c r="E64" s="37">
        <v>4</v>
      </c>
      <c r="F64" s="37">
        <v>3</v>
      </c>
      <c r="G64" s="37">
        <v>7</v>
      </c>
      <c r="H64" s="37">
        <v>5</v>
      </c>
      <c r="I64" s="37">
        <v>6</v>
      </c>
      <c r="J64" s="37">
        <v>8</v>
      </c>
      <c r="K64" s="19">
        <v>-1.6446000000000001</v>
      </c>
      <c r="L64" s="48">
        <v>867.31</v>
      </c>
      <c r="M64" s="48">
        <v>566.37</v>
      </c>
      <c r="N64" s="48">
        <v>0.78</v>
      </c>
      <c r="O64" s="52">
        <v>11154.18</v>
      </c>
      <c r="P64" s="52">
        <v>3782.3</v>
      </c>
      <c r="Q64" s="52">
        <v>7371.88</v>
      </c>
      <c r="R64" s="48">
        <v>12.1</v>
      </c>
      <c r="S64" s="48">
        <v>911.88</v>
      </c>
      <c r="T64" s="48">
        <v>525.91999999999996</v>
      </c>
      <c r="U64" s="48">
        <v>0.88</v>
      </c>
      <c r="V64" s="52">
        <v>11067.97</v>
      </c>
      <c r="W64" s="52">
        <v>3725.36</v>
      </c>
      <c r="X64" s="52">
        <v>7342.61</v>
      </c>
      <c r="Y64" s="48">
        <v>10.4</v>
      </c>
      <c r="Z64" s="52">
        <v>1041.68</v>
      </c>
      <c r="AA64" s="48">
        <v>561.92999999999995</v>
      </c>
      <c r="AB64" s="48">
        <v>0.71</v>
      </c>
      <c r="AC64" s="52">
        <v>14058.48</v>
      </c>
      <c r="AD64" s="52">
        <v>4291.3</v>
      </c>
      <c r="AE64" s="52">
        <v>9767.18</v>
      </c>
      <c r="AF64" s="48">
        <v>10.6</v>
      </c>
      <c r="AG64" s="52">
        <v>1097.29</v>
      </c>
      <c r="AH64" s="48">
        <v>633.9</v>
      </c>
      <c r="AI64" s="48">
        <v>0.8</v>
      </c>
      <c r="AJ64" s="52">
        <v>15420.36</v>
      </c>
      <c r="AK64" s="52">
        <v>5633.9</v>
      </c>
      <c r="AL64" s="52">
        <v>9786.4599999999991</v>
      </c>
      <c r="AM64" s="48">
        <v>10.9</v>
      </c>
    </row>
    <row r="65" spans="1:39">
      <c r="A65" s="38" t="s">
        <v>96</v>
      </c>
      <c r="B65" s="38" t="s">
        <v>41</v>
      </c>
      <c r="C65" s="38" t="s">
        <v>97</v>
      </c>
      <c r="D65" s="39">
        <v>54</v>
      </c>
      <c r="E65" s="41">
        <v>10</v>
      </c>
      <c r="F65" s="41">
        <v>10</v>
      </c>
      <c r="G65" s="41">
        <v>6</v>
      </c>
      <c r="H65" s="41">
        <v>10</v>
      </c>
      <c r="I65" s="41">
        <v>7</v>
      </c>
      <c r="J65" s="41">
        <v>6</v>
      </c>
      <c r="K65" s="40">
        <v>1.2739</v>
      </c>
      <c r="L65" s="48">
        <v>676.11</v>
      </c>
      <c r="M65" s="48">
        <v>416.75</v>
      </c>
      <c r="N65" s="48">
        <v>0.61</v>
      </c>
      <c r="O65" s="52">
        <v>12319.81</v>
      </c>
      <c r="P65" s="52">
        <v>6012.78</v>
      </c>
      <c r="Q65" s="52">
        <v>6307.03</v>
      </c>
      <c r="R65" s="48">
        <v>12.2</v>
      </c>
      <c r="S65" s="52">
        <v>1325.46</v>
      </c>
      <c r="T65" s="48">
        <v>949.27</v>
      </c>
      <c r="U65" s="48">
        <v>0.9</v>
      </c>
      <c r="V65" s="52">
        <v>22567.360000000001</v>
      </c>
      <c r="W65" s="52">
        <v>10321.879999999999</v>
      </c>
      <c r="X65" s="52">
        <v>12245.48</v>
      </c>
      <c r="Y65" s="48">
        <v>11.9</v>
      </c>
      <c r="Z65" s="52">
        <v>2352.9</v>
      </c>
      <c r="AA65" s="52">
        <v>1794.4</v>
      </c>
      <c r="AB65" s="48">
        <v>1.71</v>
      </c>
      <c r="AC65" s="52">
        <v>23607.68</v>
      </c>
      <c r="AD65" s="52">
        <v>10059.219999999999</v>
      </c>
      <c r="AE65" s="52">
        <v>13548.46</v>
      </c>
      <c r="AF65" s="48">
        <v>13.5</v>
      </c>
      <c r="AG65" s="52">
        <v>2063.04</v>
      </c>
      <c r="AH65" s="52">
        <v>1573.63</v>
      </c>
      <c r="AI65" s="48">
        <v>1.5</v>
      </c>
      <c r="AJ65" s="52">
        <v>23420.86</v>
      </c>
      <c r="AK65" s="52">
        <v>9871.26</v>
      </c>
      <c r="AL65" s="52">
        <v>13549.6</v>
      </c>
      <c r="AM65" s="48">
        <v>13</v>
      </c>
    </row>
    <row r="66" spans="1:39">
      <c r="A66" s="7" t="s">
        <v>103</v>
      </c>
      <c r="B66" s="7" t="s">
        <v>41</v>
      </c>
      <c r="C66" s="7" t="s">
        <v>97</v>
      </c>
      <c r="D66" s="36">
        <v>36</v>
      </c>
      <c r="E66" s="37">
        <v>5</v>
      </c>
      <c r="F66" s="37">
        <v>9</v>
      </c>
      <c r="G66" s="37">
        <v>7</v>
      </c>
      <c r="H66" s="37">
        <v>5</v>
      </c>
      <c r="I66" s="37">
        <v>6</v>
      </c>
      <c r="J66" s="37">
        <v>8</v>
      </c>
      <c r="K66" s="19">
        <v>1.2333000000000001</v>
      </c>
      <c r="L66" s="52">
        <v>3178.99</v>
      </c>
      <c r="M66" s="52">
        <v>2490.9499999999998</v>
      </c>
      <c r="N66" s="48">
        <v>0.8</v>
      </c>
      <c r="O66" s="52">
        <v>51815.28</v>
      </c>
      <c r="P66" s="52">
        <v>15896.73</v>
      </c>
      <c r="Q66" s="52">
        <v>35918.550000000003</v>
      </c>
      <c r="R66" s="48">
        <v>10.7</v>
      </c>
      <c r="S66" s="52">
        <v>3397.68</v>
      </c>
      <c r="T66" s="52">
        <v>2615.0700000000002</v>
      </c>
      <c r="U66" s="48">
        <v>0.75</v>
      </c>
      <c r="V66" s="52">
        <v>55300.24</v>
      </c>
      <c r="W66" s="52">
        <v>17841.16</v>
      </c>
      <c r="X66" s="52">
        <v>37459.08</v>
      </c>
      <c r="Y66" s="48">
        <v>10.3</v>
      </c>
      <c r="Z66" s="52">
        <v>3519.23</v>
      </c>
      <c r="AA66" s="52">
        <v>2635.75</v>
      </c>
      <c r="AB66" s="48">
        <v>0.76</v>
      </c>
      <c r="AC66" s="52">
        <v>54668.38</v>
      </c>
      <c r="AD66" s="52">
        <v>17742.41</v>
      </c>
      <c r="AE66" s="52">
        <v>36925.97</v>
      </c>
      <c r="AF66" s="48">
        <v>10.199999999999999</v>
      </c>
      <c r="AG66" s="52">
        <v>3507.81</v>
      </c>
      <c r="AH66" s="52">
        <v>2645.15</v>
      </c>
      <c r="AI66" s="48">
        <v>0.76</v>
      </c>
      <c r="AJ66" s="52">
        <v>54476.959999999999</v>
      </c>
      <c r="AK66" s="52">
        <v>17884.13</v>
      </c>
      <c r="AL66" s="52">
        <v>36592.83</v>
      </c>
      <c r="AM66" s="48">
        <v>10.7</v>
      </c>
    </row>
    <row r="67" spans="1:39">
      <c r="A67" s="38" t="s">
        <v>102</v>
      </c>
      <c r="B67" s="38" t="s">
        <v>41</v>
      </c>
      <c r="C67" s="38" t="s">
        <v>97</v>
      </c>
      <c r="D67" s="39">
        <v>38</v>
      </c>
      <c r="E67" s="41">
        <v>7</v>
      </c>
      <c r="F67" s="41">
        <v>5</v>
      </c>
      <c r="G67" s="41">
        <v>10</v>
      </c>
      <c r="H67" s="41">
        <v>3</v>
      </c>
      <c r="I67" s="41">
        <v>4</v>
      </c>
      <c r="J67" s="41">
        <v>10</v>
      </c>
      <c r="K67" s="40">
        <v>0.2</v>
      </c>
      <c r="L67" s="48">
        <v>60.13</v>
      </c>
      <c r="M67" s="48">
        <v>28.26</v>
      </c>
      <c r="N67" s="48">
        <v>0.7</v>
      </c>
      <c r="O67" s="52">
        <v>1880.56</v>
      </c>
      <c r="P67" s="48">
        <v>16.47</v>
      </c>
      <c r="Q67" s="52">
        <v>1864.09</v>
      </c>
      <c r="R67" s="48">
        <v>7.15</v>
      </c>
      <c r="S67" s="48">
        <v>58.63</v>
      </c>
      <c r="T67" s="48">
        <v>21.47</v>
      </c>
      <c r="U67" s="48">
        <v>0.13</v>
      </c>
      <c r="V67" s="52">
        <v>1882.88</v>
      </c>
      <c r="W67" s="48">
        <v>20.05</v>
      </c>
      <c r="X67" s="52">
        <v>1862.84</v>
      </c>
      <c r="Y67" s="48">
        <v>6.95</v>
      </c>
      <c r="Z67" s="48">
        <v>69.180000000000007</v>
      </c>
      <c r="AA67" s="48">
        <v>30.38</v>
      </c>
      <c r="AB67" s="48">
        <v>0.18</v>
      </c>
      <c r="AC67" s="52">
        <v>1891.59</v>
      </c>
      <c r="AD67" s="48">
        <v>19.899999999999999</v>
      </c>
      <c r="AE67" s="52">
        <v>1871.69</v>
      </c>
      <c r="AF67" s="48">
        <v>4.1399999999999997</v>
      </c>
      <c r="AG67" s="48">
        <v>57.29</v>
      </c>
      <c r="AH67" s="48">
        <v>24.32</v>
      </c>
      <c r="AI67" s="48">
        <v>0.15</v>
      </c>
      <c r="AJ67" s="52">
        <v>1877.17</v>
      </c>
      <c r="AK67" s="48">
        <v>13.22</v>
      </c>
      <c r="AL67" s="52">
        <v>1863.95</v>
      </c>
      <c r="AM67" s="48">
        <v>3.18</v>
      </c>
    </row>
    <row r="68" spans="1:39">
      <c r="A68" s="7" t="s">
        <v>98</v>
      </c>
      <c r="B68" s="7" t="s">
        <v>41</v>
      </c>
      <c r="C68" s="7" t="s">
        <v>97</v>
      </c>
      <c r="D68" s="36">
        <v>52</v>
      </c>
      <c r="E68" s="37">
        <v>5</v>
      </c>
      <c r="F68" s="37">
        <v>10</v>
      </c>
      <c r="G68" s="37">
        <v>7</v>
      </c>
      <c r="H68" s="37">
        <v>10</v>
      </c>
      <c r="I68" s="37">
        <v>4</v>
      </c>
      <c r="J68" s="37">
        <v>10</v>
      </c>
      <c r="K68" s="19">
        <v>0.2</v>
      </c>
      <c r="L68" s="48">
        <v>78.989999999999995</v>
      </c>
      <c r="M68" s="48">
        <v>70.13</v>
      </c>
      <c r="N68" s="48">
        <v>0.48</v>
      </c>
      <c r="O68" s="52">
        <v>2018035</v>
      </c>
      <c r="P68" s="48">
        <v>13.81</v>
      </c>
      <c r="Q68" s="52">
        <v>2004.54</v>
      </c>
      <c r="R68" s="48">
        <v>7.75</v>
      </c>
      <c r="S68" s="48">
        <v>107.08</v>
      </c>
      <c r="T68" s="48">
        <v>98.87</v>
      </c>
      <c r="U68" s="48">
        <v>0.5</v>
      </c>
      <c r="V68" s="52">
        <v>2452.79</v>
      </c>
      <c r="W68" s="48">
        <v>59.1</v>
      </c>
      <c r="X68" s="52">
        <v>2393.69</v>
      </c>
      <c r="Y68" s="48">
        <v>7</v>
      </c>
      <c r="Z68" s="48">
        <v>179.4</v>
      </c>
      <c r="AA68" s="48">
        <v>151.91</v>
      </c>
      <c r="AB68" s="48">
        <v>0.77</v>
      </c>
      <c r="AC68" s="52">
        <v>2504.38</v>
      </c>
      <c r="AD68" s="48">
        <v>76.63</v>
      </c>
      <c r="AE68" s="52">
        <v>2427.7600000000002</v>
      </c>
      <c r="AF68" s="48">
        <v>8</v>
      </c>
      <c r="AG68" s="48">
        <v>218.78</v>
      </c>
      <c r="AH68" s="48">
        <v>195.69</v>
      </c>
      <c r="AI68" s="48">
        <v>1</v>
      </c>
      <c r="AJ68" s="52">
        <v>2640.94</v>
      </c>
      <c r="AK68" s="48">
        <v>82.27</v>
      </c>
      <c r="AL68" s="52">
        <v>2558.67</v>
      </c>
      <c r="AM68" s="48">
        <v>9.1</v>
      </c>
    </row>
    <row r="69" spans="1:39">
      <c r="A69" s="38" t="s">
        <v>100</v>
      </c>
      <c r="B69" s="38" t="s">
        <v>41</v>
      </c>
      <c r="C69" s="38" t="s">
        <v>97</v>
      </c>
      <c r="D69" s="39">
        <v>41</v>
      </c>
      <c r="E69" s="41">
        <v>6</v>
      </c>
      <c r="F69" s="41">
        <v>10</v>
      </c>
      <c r="G69" s="41">
        <v>10</v>
      </c>
      <c r="H69" s="41">
        <v>10</v>
      </c>
      <c r="I69" s="41">
        <v>4</v>
      </c>
      <c r="J69" s="41">
        <v>9</v>
      </c>
      <c r="K69" s="40">
        <v>1.3697999999999999</v>
      </c>
      <c r="L69" s="48">
        <v>378.33</v>
      </c>
      <c r="M69" s="48">
        <v>281.26</v>
      </c>
      <c r="N69" s="48">
        <v>0</v>
      </c>
      <c r="O69" s="52">
        <v>17838.830000000002</v>
      </c>
      <c r="P69" s="52">
        <v>4397.79</v>
      </c>
      <c r="Q69" s="52">
        <v>10441.040000000001</v>
      </c>
      <c r="R69" s="48">
        <v>10.5</v>
      </c>
      <c r="S69" s="52">
        <v>1192.33</v>
      </c>
      <c r="T69" s="48">
        <v>834.61</v>
      </c>
      <c r="U69" s="48">
        <v>0.5</v>
      </c>
      <c r="V69" s="52">
        <v>14529.71</v>
      </c>
      <c r="W69" s="52">
        <v>4332.26</v>
      </c>
      <c r="X69" s="52">
        <v>10197.450000000001</v>
      </c>
      <c r="Y69" s="48">
        <v>9.9499999999999993</v>
      </c>
      <c r="Z69" s="52">
        <v>1194.1500000000001</v>
      </c>
      <c r="AA69" s="48">
        <v>848.48</v>
      </c>
      <c r="AB69" s="48">
        <v>0.5</v>
      </c>
      <c r="AC69" s="52">
        <v>14598.08</v>
      </c>
      <c r="AD69" s="52">
        <v>4316.47</v>
      </c>
      <c r="AE69" s="52">
        <v>102281.60000000001</v>
      </c>
      <c r="AF69" s="48">
        <v>9.4</v>
      </c>
      <c r="AG69" s="52">
        <v>1192.47</v>
      </c>
      <c r="AH69" s="48">
        <v>887.35</v>
      </c>
      <c r="AI69" s="48">
        <v>0.5</v>
      </c>
      <c r="AJ69" s="52">
        <v>14514.36</v>
      </c>
      <c r="AK69" s="52">
        <v>4154.8</v>
      </c>
      <c r="AL69" s="52">
        <v>10359.56</v>
      </c>
      <c r="AM69" s="48">
        <v>10.3</v>
      </c>
    </row>
    <row r="70" spans="1:39">
      <c r="A70" s="7" t="s">
        <v>105</v>
      </c>
      <c r="B70" s="7" t="s">
        <v>41</v>
      </c>
      <c r="C70" s="7" t="s">
        <v>97</v>
      </c>
      <c r="D70" s="36">
        <v>34</v>
      </c>
      <c r="E70" s="37">
        <v>5</v>
      </c>
      <c r="F70" s="37">
        <v>10</v>
      </c>
      <c r="G70" s="37">
        <v>7</v>
      </c>
      <c r="H70" s="37">
        <v>5</v>
      </c>
      <c r="I70" s="37">
        <v>6</v>
      </c>
      <c r="J70" s="37">
        <v>7</v>
      </c>
      <c r="K70" s="19">
        <v>0.27689999999999998</v>
      </c>
      <c r="L70" s="52">
        <v>1592.25</v>
      </c>
      <c r="M70" s="48">
        <v>619.42999999999995</v>
      </c>
      <c r="N70" s="48">
        <v>0.62</v>
      </c>
      <c r="O70" s="52">
        <v>13508.32</v>
      </c>
      <c r="P70" s="52">
        <v>5052.3900000000003</v>
      </c>
      <c r="Q70" s="52">
        <v>8455.94</v>
      </c>
      <c r="R70" s="48">
        <v>7.25</v>
      </c>
      <c r="S70" s="52">
        <v>1702.53</v>
      </c>
      <c r="T70" s="48">
        <v>648.16999999999996</v>
      </c>
      <c r="U70" s="48">
        <v>0.74</v>
      </c>
      <c r="V70" s="52">
        <v>13614.1</v>
      </c>
      <c r="W70" s="52">
        <v>5077.93</v>
      </c>
      <c r="X70" s="52">
        <v>8536.17</v>
      </c>
      <c r="Y70" s="48">
        <v>6.45</v>
      </c>
      <c r="Z70" s="52">
        <v>1616.83</v>
      </c>
      <c r="AA70" s="48">
        <v>591.36</v>
      </c>
      <c r="AB70" s="48">
        <v>0.68</v>
      </c>
      <c r="AC70" s="52">
        <v>13587.15</v>
      </c>
      <c r="AD70" s="52">
        <v>5170.41</v>
      </c>
      <c r="AE70" s="52">
        <v>8416.74</v>
      </c>
      <c r="AF70" s="48">
        <v>5.25</v>
      </c>
      <c r="AG70" s="52">
        <v>1596.99</v>
      </c>
      <c r="AH70" s="48">
        <v>606.91</v>
      </c>
      <c r="AI70" s="48">
        <v>0.69</v>
      </c>
      <c r="AJ70" s="52">
        <v>13597.71</v>
      </c>
      <c r="AK70" s="52">
        <v>4976.3</v>
      </c>
      <c r="AL70" s="52">
        <v>8621.41</v>
      </c>
      <c r="AM70" s="48">
        <v>4.3600000000000003</v>
      </c>
    </row>
    <row r="71" spans="1:39">
      <c r="A71" s="38" t="s">
        <v>203</v>
      </c>
      <c r="B71" s="38" t="s">
        <v>47</v>
      </c>
      <c r="C71" s="38" t="s">
        <v>201</v>
      </c>
      <c r="D71" s="39">
        <v>39</v>
      </c>
      <c r="E71" s="41">
        <v>2</v>
      </c>
      <c r="F71" s="41">
        <v>3</v>
      </c>
      <c r="G71" s="41">
        <v>8</v>
      </c>
      <c r="H71" s="41">
        <v>10</v>
      </c>
      <c r="I71" s="41">
        <v>6</v>
      </c>
      <c r="J71" s="41">
        <v>9</v>
      </c>
      <c r="K71" s="40">
        <v>1.0194000000000001</v>
      </c>
      <c r="L71" s="48">
        <v>779.38</v>
      </c>
      <c r="M71" s="48">
        <v>123.72</v>
      </c>
      <c r="N71" s="48">
        <v>0.04</v>
      </c>
      <c r="O71" s="52">
        <v>1924.65</v>
      </c>
      <c r="P71" s="48">
        <v>419.35</v>
      </c>
      <c r="Q71" s="52">
        <v>1505.3</v>
      </c>
      <c r="R71" s="48">
        <v>2.36</v>
      </c>
      <c r="S71" s="48">
        <v>834.71</v>
      </c>
      <c r="T71" s="48">
        <v>16.760000000000002</v>
      </c>
      <c r="U71" s="48">
        <v>0.02</v>
      </c>
      <c r="V71" s="52">
        <v>2022.81</v>
      </c>
      <c r="W71" s="48">
        <v>565.32000000000005</v>
      </c>
      <c r="X71" s="52">
        <v>1457.49</v>
      </c>
      <c r="Y71" s="48">
        <v>1.71</v>
      </c>
      <c r="Z71" s="52">
        <v>1117.77</v>
      </c>
      <c r="AA71" s="48">
        <v>165.68</v>
      </c>
      <c r="AB71" s="48">
        <v>0.15</v>
      </c>
      <c r="AC71" s="52">
        <v>2031.93</v>
      </c>
      <c r="AD71" s="48">
        <v>462.57</v>
      </c>
      <c r="AE71" s="52">
        <v>1569.36</v>
      </c>
      <c r="AF71" s="48">
        <v>1.42</v>
      </c>
      <c r="AG71" s="48">
        <v>848.39</v>
      </c>
      <c r="AH71" s="48">
        <v>138.44999999999999</v>
      </c>
      <c r="AI71" s="48">
        <v>0.13</v>
      </c>
      <c r="AJ71" s="52">
        <v>2008.36</v>
      </c>
      <c r="AK71" s="48">
        <v>414.07</v>
      </c>
      <c r="AL71" s="52">
        <v>1594.29</v>
      </c>
      <c r="AM71" s="48">
        <v>1.05</v>
      </c>
    </row>
    <row r="72" spans="1:39">
      <c r="A72" s="7" t="s">
        <v>200</v>
      </c>
      <c r="B72" s="7" t="s">
        <v>47</v>
      </c>
      <c r="C72" s="7" t="s">
        <v>201</v>
      </c>
      <c r="D72" s="36">
        <v>46</v>
      </c>
      <c r="E72" s="37">
        <v>2</v>
      </c>
      <c r="F72" s="37">
        <v>5</v>
      </c>
      <c r="G72" s="37">
        <v>9</v>
      </c>
      <c r="H72" s="37">
        <v>3</v>
      </c>
      <c r="I72" s="37">
        <v>6</v>
      </c>
      <c r="J72" s="37">
        <v>10</v>
      </c>
      <c r="K72" s="19">
        <v>22.153500000000001</v>
      </c>
      <c r="L72" s="52">
        <v>1157.73</v>
      </c>
      <c r="M72" s="48">
        <v>119.79</v>
      </c>
      <c r="N72" s="48">
        <v>0.16</v>
      </c>
      <c r="O72" s="52">
        <v>1278.96</v>
      </c>
      <c r="P72" s="48">
        <v>226.65</v>
      </c>
      <c r="Q72" s="52">
        <v>1052.31</v>
      </c>
      <c r="R72" s="48">
        <v>4.46</v>
      </c>
      <c r="S72" s="52">
        <v>1486.89</v>
      </c>
      <c r="T72" s="48">
        <v>106.34</v>
      </c>
      <c r="U72" s="48">
        <v>0.14000000000000001</v>
      </c>
      <c r="V72" s="52">
        <v>1268.81</v>
      </c>
      <c r="W72" s="48">
        <v>222.64</v>
      </c>
      <c r="X72" s="52">
        <v>1046.17</v>
      </c>
      <c r="Y72" s="48">
        <v>10.35</v>
      </c>
      <c r="Z72" s="48">
        <v>821.13</v>
      </c>
      <c r="AA72" s="48">
        <v>0.5</v>
      </c>
      <c r="AB72" s="48">
        <v>0</v>
      </c>
      <c r="AC72" s="52">
        <v>1096.8399999999999</v>
      </c>
      <c r="AD72" s="48">
        <v>153.91999999999999</v>
      </c>
      <c r="AE72" s="48">
        <v>942.91</v>
      </c>
      <c r="AF72" s="48">
        <v>1.89</v>
      </c>
      <c r="AG72" s="52">
        <v>1501.71</v>
      </c>
      <c r="AH72" s="48">
        <v>210.79</v>
      </c>
      <c r="AI72" s="48">
        <v>0.28000000000000003</v>
      </c>
      <c r="AJ72" s="52">
        <v>1513.07</v>
      </c>
      <c r="AK72" s="48">
        <v>389.35</v>
      </c>
      <c r="AL72" s="52">
        <v>1123.71</v>
      </c>
      <c r="AM72" s="48">
        <v>2.62</v>
      </c>
    </row>
    <row r="73" spans="1:39">
      <c r="A73" s="38" t="s">
        <v>205</v>
      </c>
      <c r="B73" s="38" t="s">
        <v>47</v>
      </c>
      <c r="C73" s="38" t="s">
        <v>201</v>
      </c>
      <c r="D73" s="39">
        <v>33</v>
      </c>
      <c r="E73" s="41">
        <v>6</v>
      </c>
      <c r="F73" s="41">
        <v>5</v>
      </c>
      <c r="G73" s="41">
        <v>3</v>
      </c>
      <c r="H73" s="41">
        <v>3</v>
      </c>
      <c r="I73" s="41">
        <v>7</v>
      </c>
      <c r="J73" s="41">
        <v>3</v>
      </c>
      <c r="K73" s="40">
        <v>0.59219999999999995</v>
      </c>
      <c r="L73" s="52">
        <v>5800.02</v>
      </c>
      <c r="M73" s="48">
        <v>354.93</v>
      </c>
      <c r="N73" s="48">
        <v>1.18</v>
      </c>
      <c r="O73" s="52">
        <v>6329.54</v>
      </c>
      <c r="P73" s="52">
        <v>3810.45</v>
      </c>
      <c r="Q73" s="52">
        <v>2519.09</v>
      </c>
      <c r="R73" s="48">
        <v>8.5500000000000007</v>
      </c>
      <c r="S73" s="52">
        <v>4906.7299999999996</v>
      </c>
      <c r="T73" s="48">
        <v>169.37</v>
      </c>
      <c r="U73" s="48">
        <v>0.55000000000000004</v>
      </c>
      <c r="V73" s="52">
        <v>6949.18</v>
      </c>
      <c r="W73" s="52">
        <v>4414.97</v>
      </c>
      <c r="X73" s="52">
        <v>2534.21</v>
      </c>
      <c r="Y73" s="48">
        <v>6.4</v>
      </c>
      <c r="Z73" s="52">
        <v>5275.51</v>
      </c>
      <c r="AA73" s="48">
        <v>132.69999999999999</v>
      </c>
      <c r="AB73" s="48">
        <v>0.43</v>
      </c>
      <c r="AC73" s="52">
        <v>6198.6</v>
      </c>
      <c r="AD73" s="52">
        <v>3655.15</v>
      </c>
      <c r="AE73" s="52">
        <v>2543.44</v>
      </c>
      <c r="AF73" s="48">
        <v>4.34</v>
      </c>
      <c r="AG73" s="52">
        <v>5402.76</v>
      </c>
      <c r="AH73" s="48">
        <v>194.4</v>
      </c>
      <c r="AI73" s="48">
        <v>0.63</v>
      </c>
      <c r="AJ73" s="52">
        <v>6556.66</v>
      </c>
      <c r="AK73" s="52">
        <v>3886.62</v>
      </c>
      <c r="AL73" s="52">
        <v>2670.04</v>
      </c>
      <c r="AM73" s="48">
        <v>3.52</v>
      </c>
    </row>
    <row r="74" spans="1:39">
      <c r="A74" s="7" t="s">
        <v>202</v>
      </c>
      <c r="B74" s="7" t="s">
        <v>47</v>
      </c>
      <c r="C74" s="7" t="s">
        <v>201</v>
      </c>
      <c r="D74" s="36">
        <v>44</v>
      </c>
      <c r="E74" s="37">
        <v>10</v>
      </c>
      <c r="F74" s="37">
        <v>10</v>
      </c>
      <c r="G74" s="37">
        <v>7</v>
      </c>
      <c r="H74" s="37">
        <v>10</v>
      </c>
      <c r="I74" s="37">
        <v>4</v>
      </c>
      <c r="J74" s="37">
        <v>8</v>
      </c>
      <c r="K74" s="19">
        <v>8.6951999999999998</v>
      </c>
      <c r="L74" s="48">
        <v>808.8</v>
      </c>
      <c r="M74" s="48">
        <v>-129.49</v>
      </c>
      <c r="N74" s="48">
        <v>-0.04</v>
      </c>
      <c r="O74" s="52">
        <v>2163.9699999999998</v>
      </c>
      <c r="P74" s="48">
        <v>733.56</v>
      </c>
      <c r="Q74" s="52">
        <v>1428.09</v>
      </c>
      <c r="R74" s="48">
        <v>3.72</v>
      </c>
      <c r="S74" s="52">
        <v>1799.55</v>
      </c>
      <c r="T74" s="48">
        <v>169.41</v>
      </c>
      <c r="U74" s="48">
        <v>0.23</v>
      </c>
      <c r="V74" s="52">
        <v>2565.77</v>
      </c>
      <c r="W74" s="48">
        <v>972.19</v>
      </c>
      <c r="X74" s="52">
        <v>1596.91</v>
      </c>
      <c r="Y74" s="48">
        <v>2.52</v>
      </c>
      <c r="Z74" s="52">
        <v>1284.82</v>
      </c>
      <c r="AA74" s="48">
        <v>1.36</v>
      </c>
      <c r="AB74" s="48">
        <v>0</v>
      </c>
      <c r="AC74" s="52">
        <v>2172.71</v>
      </c>
      <c r="AD74" s="48">
        <v>665.2</v>
      </c>
      <c r="AE74" s="52">
        <v>1514.93</v>
      </c>
      <c r="AF74" s="48">
        <v>2</v>
      </c>
      <c r="AG74" s="52">
        <v>1565.15</v>
      </c>
      <c r="AH74" s="48">
        <v>167.03</v>
      </c>
      <c r="AI74" s="48">
        <v>0.21</v>
      </c>
      <c r="AJ74" s="52">
        <v>2524.79</v>
      </c>
      <c r="AK74" s="48">
        <v>909.13</v>
      </c>
      <c r="AL74" s="52">
        <v>1627.62</v>
      </c>
      <c r="AM74" s="48">
        <v>2.08</v>
      </c>
    </row>
    <row r="75" spans="1:39">
      <c r="A75" s="38" t="s">
        <v>204</v>
      </c>
      <c r="B75" s="38" t="s">
        <v>47</v>
      </c>
      <c r="C75" s="38" t="s">
        <v>201</v>
      </c>
      <c r="D75" s="39">
        <v>38</v>
      </c>
      <c r="E75" s="41">
        <v>6</v>
      </c>
      <c r="F75" s="41">
        <v>3</v>
      </c>
      <c r="G75" s="41">
        <v>5</v>
      </c>
      <c r="H75" s="41">
        <v>3</v>
      </c>
      <c r="I75" s="41">
        <v>6</v>
      </c>
      <c r="J75" s="41">
        <v>5</v>
      </c>
      <c r="K75" s="40">
        <v>0.15310000000000001</v>
      </c>
      <c r="L75" s="52">
        <v>1891.18</v>
      </c>
      <c r="M75" s="48">
        <v>149.47</v>
      </c>
      <c r="N75" s="48">
        <v>0.25</v>
      </c>
      <c r="O75" s="52">
        <v>3736.5</v>
      </c>
      <c r="P75" s="52">
        <v>2064.8000000000002</v>
      </c>
      <c r="Q75" s="52">
        <v>1671.69</v>
      </c>
      <c r="R75" s="48">
        <v>7.2</v>
      </c>
      <c r="S75" s="52">
        <v>1961.71</v>
      </c>
      <c r="T75" s="48">
        <v>61.78</v>
      </c>
      <c r="U75" s="48">
        <v>0.08</v>
      </c>
      <c r="V75" s="52">
        <v>3985.4</v>
      </c>
      <c r="W75" s="52">
        <v>2324.16</v>
      </c>
      <c r="X75" s="52">
        <v>1661.24</v>
      </c>
      <c r="Y75" s="48">
        <v>5.35</v>
      </c>
      <c r="Z75" s="52">
        <v>1602.45</v>
      </c>
      <c r="AA75" s="48">
        <v>66.25</v>
      </c>
      <c r="AB75" s="48">
        <v>0.09</v>
      </c>
      <c r="AC75" s="52">
        <v>4088.56</v>
      </c>
      <c r="AD75" s="52">
        <v>2391.48</v>
      </c>
      <c r="AE75" s="52">
        <v>1697.09</v>
      </c>
      <c r="AF75" s="48">
        <v>2.1800000000000002</v>
      </c>
      <c r="AG75" s="52">
        <v>1943.41</v>
      </c>
      <c r="AH75" s="48">
        <v>99.5</v>
      </c>
      <c r="AI75" s="48">
        <v>0.13</v>
      </c>
      <c r="AJ75" s="52">
        <v>3849.52</v>
      </c>
      <c r="AK75" s="52">
        <v>2083.08</v>
      </c>
      <c r="AL75" s="52">
        <v>1766.44</v>
      </c>
      <c r="AM75" s="48">
        <v>1.71</v>
      </c>
    </row>
    <row r="76" spans="1:39">
      <c r="A76" s="7" t="s">
        <v>230</v>
      </c>
      <c r="B76" s="7" t="s">
        <v>45</v>
      </c>
      <c r="C76" s="7" t="s">
        <v>226</v>
      </c>
      <c r="D76" s="36">
        <v>43</v>
      </c>
      <c r="E76" s="37">
        <v>8</v>
      </c>
      <c r="F76" s="37">
        <v>3</v>
      </c>
      <c r="G76" s="37">
        <v>9</v>
      </c>
      <c r="H76" s="37">
        <v>3</v>
      </c>
      <c r="I76" s="37">
        <v>4</v>
      </c>
      <c r="J76" s="37">
        <v>9</v>
      </c>
      <c r="K76" s="19">
        <v>7.0499999999999993E-2</v>
      </c>
      <c r="L76" s="52">
        <v>27655.51</v>
      </c>
      <c r="M76" s="52">
        <v>2102.0700000000002</v>
      </c>
      <c r="N76" s="48">
        <v>2.61</v>
      </c>
      <c r="O76" s="52">
        <v>29703.41</v>
      </c>
      <c r="P76" s="52">
        <v>5841.27</v>
      </c>
      <c r="Q76" s="52">
        <v>23862.14</v>
      </c>
      <c r="R76" s="48">
        <v>51.5</v>
      </c>
      <c r="S76" s="52">
        <v>26590.87</v>
      </c>
      <c r="T76" s="52">
        <v>1760.57</v>
      </c>
      <c r="U76" s="48">
        <v>2.14</v>
      </c>
      <c r="V76" s="52">
        <v>35305.96</v>
      </c>
      <c r="W76" s="52">
        <v>6159.24</v>
      </c>
      <c r="X76" s="52">
        <v>29146.720000000001</v>
      </c>
      <c r="Y76" s="48">
        <v>53.25</v>
      </c>
      <c r="Z76" s="52">
        <v>25443.11</v>
      </c>
      <c r="AA76" s="48">
        <v>-633.66999999999996</v>
      </c>
      <c r="AB76" s="48">
        <v>-0.72</v>
      </c>
      <c r="AC76" s="52">
        <v>32515.85</v>
      </c>
      <c r="AD76" s="52">
        <v>5437.61</v>
      </c>
      <c r="AE76" s="52">
        <v>27078.25</v>
      </c>
      <c r="AF76" s="48">
        <v>24.7</v>
      </c>
      <c r="AG76" s="52">
        <v>21231.1</v>
      </c>
      <c r="AH76" s="48">
        <v>670.4</v>
      </c>
      <c r="AI76" s="48">
        <v>0.76</v>
      </c>
      <c r="AJ76" s="52">
        <v>31159.01</v>
      </c>
      <c r="AK76" s="52">
        <v>4839.6099999999997</v>
      </c>
      <c r="AL76" s="52">
        <v>26319.4</v>
      </c>
      <c r="AM76" s="48">
        <v>16.3</v>
      </c>
    </row>
    <row r="77" spans="1:39">
      <c r="A77" s="38" t="s">
        <v>239</v>
      </c>
      <c r="B77" s="38" t="s">
        <v>45</v>
      </c>
      <c r="C77" s="38" t="s">
        <v>226</v>
      </c>
      <c r="D77" s="39">
        <v>31</v>
      </c>
      <c r="E77" s="41">
        <v>4</v>
      </c>
      <c r="F77" s="41">
        <v>3</v>
      </c>
      <c r="G77" s="41">
        <v>7</v>
      </c>
      <c r="H77" s="41">
        <v>3</v>
      </c>
      <c r="I77" s="41">
        <v>8</v>
      </c>
      <c r="J77" s="41">
        <v>8</v>
      </c>
      <c r="K77" s="40">
        <v>0.97840000000000005</v>
      </c>
      <c r="L77" s="52">
        <v>18786.59</v>
      </c>
      <c r="M77" s="52">
        <v>2317.23</v>
      </c>
      <c r="N77" s="48">
        <v>1.96</v>
      </c>
      <c r="O77" s="52">
        <v>20993.48</v>
      </c>
      <c r="P77" s="52">
        <v>7548.17</v>
      </c>
      <c r="Q77" s="52">
        <v>13389.47</v>
      </c>
      <c r="R77" s="48">
        <v>46.5</v>
      </c>
      <c r="S77" s="52">
        <v>16683.36</v>
      </c>
      <c r="T77" s="52">
        <v>1719.58</v>
      </c>
      <c r="U77" s="48">
        <v>1.45</v>
      </c>
      <c r="V77" s="52">
        <v>19193.32</v>
      </c>
      <c r="W77" s="52">
        <v>5444.04</v>
      </c>
      <c r="X77" s="52">
        <v>13688.51</v>
      </c>
      <c r="Y77" s="48">
        <v>55</v>
      </c>
      <c r="Z77" s="52">
        <v>15210.44</v>
      </c>
      <c r="AA77" s="52">
        <v>1648.46</v>
      </c>
      <c r="AB77" s="48">
        <v>1.39</v>
      </c>
      <c r="AC77" s="52">
        <v>18415.68</v>
      </c>
      <c r="AD77" s="52">
        <v>4597.62</v>
      </c>
      <c r="AE77" s="52">
        <v>13755.97</v>
      </c>
      <c r="AF77" s="48">
        <v>24.5</v>
      </c>
      <c r="AG77" s="52">
        <v>13338.58</v>
      </c>
      <c r="AH77" s="48">
        <v>832.68</v>
      </c>
      <c r="AI77" s="48">
        <v>0.7</v>
      </c>
      <c r="AJ77" s="52">
        <v>17929.669999999998</v>
      </c>
      <c r="AK77" s="52">
        <v>4733.51</v>
      </c>
      <c r="AL77" s="52">
        <v>13136.35</v>
      </c>
      <c r="AM77" s="48">
        <v>18.2</v>
      </c>
    </row>
    <row r="78" spans="1:39">
      <c r="A78" s="7" t="s">
        <v>225</v>
      </c>
      <c r="B78" s="7" t="s">
        <v>45</v>
      </c>
      <c r="C78" s="7" t="s">
        <v>226</v>
      </c>
      <c r="D78" s="36">
        <v>48</v>
      </c>
      <c r="E78" s="37">
        <v>2</v>
      </c>
      <c r="F78" s="37">
        <v>3</v>
      </c>
      <c r="G78" s="37">
        <v>7</v>
      </c>
      <c r="H78" s="37">
        <v>9</v>
      </c>
      <c r="I78" s="37">
        <v>6</v>
      </c>
      <c r="J78" s="37">
        <v>8</v>
      </c>
      <c r="K78" s="19">
        <v>0.2742</v>
      </c>
      <c r="L78" s="52">
        <v>18705.05</v>
      </c>
      <c r="M78" s="48">
        <v>704.64</v>
      </c>
      <c r="N78" s="48">
        <v>7.78</v>
      </c>
      <c r="O78" s="52">
        <v>9837.08</v>
      </c>
      <c r="P78" s="52">
        <v>3424.38</v>
      </c>
      <c r="Q78" s="52">
        <v>6412.7</v>
      </c>
      <c r="R78" s="48">
        <v>283</v>
      </c>
      <c r="S78" s="52">
        <v>18020.29</v>
      </c>
      <c r="T78" s="48">
        <v>242.68</v>
      </c>
      <c r="U78" s="48">
        <v>11.61</v>
      </c>
      <c r="V78" s="52">
        <v>9201.0499999999993</v>
      </c>
      <c r="W78" s="52">
        <v>2926.32</v>
      </c>
      <c r="X78" s="52">
        <v>6274.73</v>
      </c>
      <c r="Y78" s="48">
        <v>241</v>
      </c>
      <c r="Z78" s="52">
        <v>15958.28</v>
      </c>
      <c r="AA78" s="48">
        <v>295.69</v>
      </c>
      <c r="AB78" s="48">
        <v>14.15</v>
      </c>
      <c r="AC78" s="52">
        <v>9032.61</v>
      </c>
      <c r="AD78" s="52">
        <v>2697.49</v>
      </c>
      <c r="AE78" s="52">
        <v>6335.12</v>
      </c>
      <c r="AF78" s="48">
        <v>173.5</v>
      </c>
      <c r="AG78" s="52">
        <v>17804.080000000002</v>
      </c>
      <c r="AH78" s="52">
        <v>1099.94</v>
      </c>
      <c r="AI78" s="48">
        <v>52.63</v>
      </c>
      <c r="AJ78" s="52">
        <v>10013.67</v>
      </c>
      <c r="AK78" s="52">
        <v>2783.51</v>
      </c>
      <c r="AL78" s="52">
        <v>7230.16</v>
      </c>
      <c r="AM78" s="48">
        <v>276</v>
      </c>
    </row>
    <row r="79" spans="1:39">
      <c r="A79" s="38" t="s">
        <v>232</v>
      </c>
      <c r="B79" s="38" t="s">
        <v>45</v>
      </c>
      <c r="C79" s="38" t="s">
        <v>233</v>
      </c>
      <c r="D79" s="39">
        <v>41</v>
      </c>
      <c r="E79" s="41">
        <v>8</v>
      </c>
      <c r="F79" s="41">
        <v>5</v>
      </c>
      <c r="G79" s="41">
        <v>7</v>
      </c>
      <c r="H79" s="41">
        <v>6</v>
      </c>
      <c r="I79" s="41">
        <v>10</v>
      </c>
      <c r="J79" s="41">
        <v>7</v>
      </c>
      <c r="K79" s="40">
        <v>0.70579999999999998</v>
      </c>
      <c r="L79" s="52">
        <v>3071.84</v>
      </c>
      <c r="M79" s="48">
        <v>307.66000000000003</v>
      </c>
      <c r="N79" s="48">
        <v>0.28999999999999998</v>
      </c>
      <c r="O79" s="52">
        <v>2095.65</v>
      </c>
      <c r="P79" s="48">
        <v>937.69</v>
      </c>
      <c r="Q79" s="52">
        <v>1157.97</v>
      </c>
      <c r="R79" s="48">
        <v>7.8</v>
      </c>
      <c r="S79" s="52">
        <v>3237.66</v>
      </c>
      <c r="T79" s="48">
        <v>285.05</v>
      </c>
      <c r="U79" s="48">
        <v>0.45</v>
      </c>
      <c r="V79" s="52">
        <v>1993.83</v>
      </c>
      <c r="W79" s="48">
        <v>720.6</v>
      </c>
      <c r="X79" s="52">
        <v>1273.23</v>
      </c>
      <c r="Y79" s="48">
        <v>5.3</v>
      </c>
      <c r="Z79" s="52">
        <v>2975.55</v>
      </c>
      <c r="AA79" s="48">
        <v>224.6</v>
      </c>
      <c r="AB79" s="48">
        <v>0.35</v>
      </c>
      <c r="AC79" s="52">
        <v>2099.09</v>
      </c>
      <c r="AD79" s="48">
        <v>748</v>
      </c>
      <c r="AE79" s="52">
        <v>1351.09</v>
      </c>
      <c r="AF79" s="48">
        <v>2.66</v>
      </c>
      <c r="AG79" s="52">
        <v>2853.04</v>
      </c>
      <c r="AH79" s="48">
        <v>194.59</v>
      </c>
      <c r="AI79" s="48">
        <v>0.31</v>
      </c>
      <c r="AJ79" s="52">
        <v>2251.83</v>
      </c>
      <c r="AK79" s="48">
        <v>820.67</v>
      </c>
      <c r="AL79" s="52">
        <v>1431.16</v>
      </c>
      <c r="AM79" s="48">
        <v>2.2999999999999998</v>
      </c>
    </row>
    <row r="80" spans="1:39">
      <c r="A80" s="7" t="s">
        <v>234</v>
      </c>
      <c r="B80" s="7" t="s">
        <v>45</v>
      </c>
      <c r="C80" s="7" t="s">
        <v>233</v>
      </c>
      <c r="D80" s="36">
        <v>40</v>
      </c>
      <c r="E80" s="37">
        <v>10</v>
      </c>
      <c r="F80" s="37">
        <v>10</v>
      </c>
      <c r="G80" s="37">
        <v>8</v>
      </c>
      <c r="H80" s="37">
        <v>3</v>
      </c>
      <c r="I80" s="37">
        <v>6</v>
      </c>
      <c r="J80" s="37">
        <v>9</v>
      </c>
      <c r="K80" s="19">
        <v>0.30509999999999998</v>
      </c>
      <c r="L80" s="52">
        <v>2917.33</v>
      </c>
      <c r="M80" s="48">
        <v>303.52</v>
      </c>
      <c r="N80" s="48">
        <v>0.65</v>
      </c>
      <c r="O80" s="52">
        <v>2716.61</v>
      </c>
      <c r="P80" s="48">
        <v>827.4</v>
      </c>
      <c r="Q80" s="52">
        <v>1884.55</v>
      </c>
      <c r="R80" s="48">
        <v>5.05</v>
      </c>
      <c r="S80" s="52">
        <v>2647.22</v>
      </c>
      <c r="T80" s="48">
        <v>235.35</v>
      </c>
      <c r="U80" s="48">
        <v>0.28000000000000003</v>
      </c>
      <c r="V80" s="52">
        <v>2387.04</v>
      </c>
      <c r="W80" s="48">
        <v>320.29000000000002</v>
      </c>
      <c r="X80" s="52">
        <v>2061.44</v>
      </c>
      <c r="Y80" s="48">
        <v>3.7</v>
      </c>
      <c r="Z80" s="52">
        <v>2140.42</v>
      </c>
      <c r="AA80" s="48">
        <v>-164.46</v>
      </c>
      <c r="AB80" s="48">
        <v>-0.19</v>
      </c>
      <c r="AC80" s="52">
        <v>2420.7600000000002</v>
      </c>
      <c r="AD80" s="48">
        <v>605.01</v>
      </c>
      <c r="AE80" s="52">
        <v>1813.65</v>
      </c>
      <c r="AF80" s="48">
        <v>1.59</v>
      </c>
      <c r="AG80" s="52">
        <v>2172.0700000000002</v>
      </c>
      <c r="AH80" s="48">
        <v>-60.13</v>
      </c>
      <c r="AI80" s="48">
        <v>-7.0000000000000007E-2</v>
      </c>
      <c r="AJ80" s="52">
        <v>2349.9</v>
      </c>
      <c r="AK80" s="48">
        <v>640.85</v>
      </c>
      <c r="AL80" s="52">
        <v>1706.84</v>
      </c>
      <c r="AM80" s="48">
        <v>1.07</v>
      </c>
    </row>
    <row r="81" spans="1:39">
      <c r="A81" s="38" t="s">
        <v>231</v>
      </c>
      <c r="B81" s="38" t="s">
        <v>45</v>
      </c>
      <c r="C81" s="38" t="s">
        <v>224</v>
      </c>
      <c r="D81" s="39">
        <v>42</v>
      </c>
      <c r="E81" s="41">
        <v>7</v>
      </c>
      <c r="F81" s="41">
        <v>3</v>
      </c>
      <c r="G81" s="41">
        <v>3</v>
      </c>
      <c r="H81" s="41">
        <v>10</v>
      </c>
      <c r="I81" s="41">
        <v>10</v>
      </c>
      <c r="J81" s="41">
        <v>3</v>
      </c>
      <c r="K81" s="40">
        <v>0.50070000000000003</v>
      </c>
      <c r="L81" s="52">
        <v>2589.91</v>
      </c>
      <c r="M81" s="48">
        <v>162.74</v>
      </c>
      <c r="N81" s="48">
        <v>0.77</v>
      </c>
      <c r="O81" s="52">
        <v>2078.9499999999998</v>
      </c>
      <c r="P81" s="52">
        <v>1428.98</v>
      </c>
      <c r="Q81" s="48">
        <v>649.97</v>
      </c>
      <c r="R81" s="48">
        <v>6.75</v>
      </c>
      <c r="S81" s="52">
        <v>3557.98</v>
      </c>
      <c r="T81" s="48">
        <v>254.09</v>
      </c>
      <c r="U81" s="48">
        <v>0.9</v>
      </c>
      <c r="V81" s="52">
        <v>2025.47</v>
      </c>
      <c r="W81" s="52">
        <v>1307.79</v>
      </c>
      <c r="X81" s="48">
        <v>717.69</v>
      </c>
      <c r="Y81" s="48">
        <v>8.25</v>
      </c>
      <c r="Z81" s="52">
        <v>4098.55</v>
      </c>
      <c r="AA81" s="48">
        <v>368.87</v>
      </c>
      <c r="AB81" s="48">
        <v>1.3</v>
      </c>
      <c r="AC81" s="52">
        <v>2524.0100000000002</v>
      </c>
      <c r="AD81" s="52">
        <v>1650.77</v>
      </c>
      <c r="AE81" s="48">
        <v>873.23</v>
      </c>
      <c r="AF81" s="48">
        <v>9.0500000000000007</v>
      </c>
      <c r="AG81" s="52">
        <v>3561.45</v>
      </c>
      <c r="AH81" s="48">
        <v>261.13</v>
      </c>
      <c r="AI81" s="48">
        <v>0.92</v>
      </c>
      <c r="AJ81" s="52">
        <v>2490.67</v>
      </c>
      <c r="AK81" s="52">
        <v>1711.33</v>
      </c>
      <c r="AL81" s="48">
        <v>779.34</v>
      </c>
      <c r="AM81" s="48">
        <v>11.9</v>
      </c>
    </row>
    <row r="82" spans="1:39">
      <c r="A82" s="7" t="s">
        <v>237</v>
      </c>
      <c r="B82" s="7" t="s">
        <v>45</v>
      </c>
      <c r="C82" s="7" t="s">
        <v>224</v>
      </c>
      <c r="D82" s="36">
        <v>38</v>
      </c>
      <c r="E82" s="37">
        <v>4</v>
      </c>
      <c r="F82" s="37">
        <v>3</v>
      </c>
      <c r="G82" s="37">
        <v>8</v>
      </c>
      <c r="H82" s="37">
        <v>5</v>
      </c>
      <c r="I82" s="37">
        <v>6</v>
      </c>
      <c r="J82" s="37">
        <v>9</v>
      </c>
      <c r="K82" s="19">
        <v>1.3107</v>
      </c>
      <c r="L82" s="52">
        <v>14425.03</v>
      </c>
      <c r="M82" s="52">
        <v>12334.63</v>
      </c>
      <c r="N82" s="48">
        <v>1.05</v>
      </c>
      <c r="O82" s="52">
        <v>217502.48</v>
      </c>
      <c r="P82" s="52">
        <v>44891.42</v>
      </c>
      <c r="Q82" s="52">
        <v>172611.06</v>
      </c>
      <c r="R82" s="48">
        <v>13.2</v>
      </c>
      <c r="S82" s="52">
        <v>14300.57</v>
      </c>
      <c r="T82" s="52">
        <v>11850.19</v>
      </c>
      <c r="U82" s="48">
        <v>1.1100000000000001</v>
      </c>
      <c r="V82" s="52">
        <v>213915.71</v>
      </c>
      <c r="W82" s="52">
        <v>43595.61</v>
      </c>
      <c r="X82" s="52">
        <v>170320.1</v>
      </c>
      <c r="Y82" s="48">
        <v>7.75</v>
      </c>
      <c r="Z82" s="52">
        <v>14172.52</v>
      </c>
      <c r="AA82" s="52">
        <v>11663.01</v>
      </c>
      <c r="AB82" s="48">
        <v>1.1000000000000001</v>
      </c>
      <c r="AC82" s="52">
        <v>204181.87</v>
      </c>
      <c r="AD82" s="52">
        <v>42698.25</v>
      </c>
      <c r="AE82" s="52">
        <v>161483.62</v>
      </c>
      <c r="AF82" s="48">
        <v>8.6</v>
      </c>
      <c r="AG82" s="52">
        <v>14435.87</v>
      </c>
      <c r="AH82" s="52">
        <v>12041.89</v>
      </c>
      <c r="AI82" s="48">
        <v>1.1299999999999999</v>
      </c>
      <c r="AJ82" s="52">
        <v>212923.61</v>
      </c>
      <c r="AK82" s="52">
        <v>47031.89</v>
      </c>
      <c r="AL82" s="52">
        <v>165891.72</v>
      </c>
      <c r="AM82" s="48">
        <v>9.4499999999999993</v>
      </c>
    </row>
    <row r="83" spans="1:39">
      <c r="A83" s="38" t="s">
        <v>228</v>
      </c>
      <c r="B83" s="38" t="s">
        <v>45</v>
      </c>
      <c r="C83" s="38" t="s">
        <v>224</v>
      </c>
      <c r="D83" s="39">
        <v>47</v>
      </c>
      <c r="E83" s="41">
        <v>10</v>
      </c>
      <c r="F83" s="41">
        <v>10</v>
      </c>
      <c r="G83" s="41">
        <v>7</v>
      </c>
      <c r="H83" s="41">
        <v>5</v>
      </c>
      <c r="I83" s="41">
        <v>6</v>
      </c>
      <c r="J83" s="41">
        <v>8</v>
      </c>
      <c r="K83" s="40">
        <v>1.1568000000000001</v>
      </c>
      <c r="L83" s="52">
        <v>1699.01</v>
      </c>
      <c r="M83" s="48">
        <v>162.08000000000001</v>
      </c>
      <c r="N83" s="48">
        <v>0.56999999999999995</v>
      </c>
      <c r="O83" s="52">
        <v>4324.76</v>
      </c>
      <c r="P83" s="52">
        <v>1640.38</v>
      </c>
      <c r="Q83" s="52">
        <v>2684.38</v>
      </c>
      <c r="R83" s="48">
        <v>6.15</v>
      </c>
      <c r="S83" s="52">
        <v>2016.4</v>
      </c>
      <c r="T83" s="48">
        <v>264.63</v>
      </c>
      <c r="U83" s="48">
        <v>0.61</v>
      </c>
      <c r="V83" s="52">
        <v>4244.8500000000004</v>
      </c>
      <c r="W83" s="52">
        <v>1336.31</v>
      </c>
      <c r="X83" s="52">
        <v>2908.54</v>
      </c>
      <c r="Y83" s="48">
        <v>7.8</v>
      </c>
      <c r="Z83" s="52">
        <v>2057.37</v>
      </c>
      <c r="AA83" s="48">
        <v>205.6</v>
      </c>
      <c r="AB83" s="48">
        <v>0.47</v>
      </c>
      <c r="AC83" s="52">
        <v>4483.12</v>
      </c>
      <c r="AD83" s="52">
        <v>1432.25</v>
      </c>
      <c r="AE83" s="52">
        <v>3050.88</v>
      </c>
      <c r="AF83" s="48">
        <v>8.25</v>
      </c>
      <c r="AG83" s="52">
        <v>2109.2399999999998</v>
      </c>
      <c r="AH83" s="48">
        <v>120.51</v>
      </c>
      <c r="AI83" s="48">
        <v>0.28000000000000003</v>
      </c>
      <c r="AJ83" s="52">
        <v>4824.8500000000004</v>
      </c>
      <c r="AK83" s="52">
        <v>1722.37</v>
      </c>
      <c r="AL83" s="52">
        <v>3102.48</v>
      </c>
      <c r="AM83" s="48">
        <v>3.6</v>
      </c>
    </row>
    <row r="84" spans="1:39">
      <c r="A84" s="7" t="s">
        <v>227</v>
      </c>
      <c r="B84" s="7" t="s">
        <v>45</v>
      </c>
      <c r="C84" s="7" t="s">
        <v>224</v>
      </c>
      <c r="D84" s="36">
        <v>48</v>
      </c>
      <c r="E84" s="37">
        <v>6</v>
      </c>
      <c r="F84" s="37">
        <v>5</v>
      </c>
      <c r="G84" s="37">
        <v>3</v>
      </c>
      <c r="H84" s="37">
        <v>9</v>
      </c>
      <c r="I84" s="37">
        <v>10</v>
      </c>
      <c r="J84" s="37">
        <v>3</v>
      </c>
      <c r="K84" s="19">
        <v>1.2516</v>
      </c>
      <c r="L84" s="52">
        <v>186142.92</v>
      </c>
      <c r="M84" s="52">
        <v>26011.279999999999</v>
      </c>
      <c r="N84" s="48">
        <v>8.86</v>
      </c>
      <c r="O84" s="52">
        <v>337043.66</v>
      </c>
      <c r="P84" s="52">
        <v>251227.31</v>
      </c>
      <c r="Q84" s="52">
        <v>85688.72</v>
      </c>
      <c r="R84" s="48">
        <v>195</v>
      </c>
      <c r="S84" s="52">
        <v>189720.27</v>
      </c>
      <c r="T84" s="52">
        <v>29086.11</v>
      </c>
      <c r="U84" s="48">
        <v>9.7799999999999994</v>
      </c>
      <c r="V84" s="52">
        <v>454439.22</v>
      </c>
      <c r="W84" s="52">
        <v>363761.01</v>
      </c>
      <c r="X84" s="52">
        <v>90577.12</v>
      </c>
      <c r="Y84" s="48">
        <v>217</v>
      </c>
      <c r="Z84" s="52">
        <v>214147.68</v>
      </c>
      <c r="AA84" s="52">
        <v>35075.360000000001</v>
      </c>
      <c r="AB84" s="48">
        <v>11.79</v>
      </c>
      <c r="AC84" s="52">
        <v>431432.09</v>
      </c>
      <c r="AD84" s="52">
        <v>334108.2</v>
      </c>
      <c r="AE84" s="52">
        <v>97222.42</v>
      </c>
      <c r="AF84" s="48">
        <v>287</v>
      </c>
      <c r="AG84" s="52">
        <v>226998.24</v>
      </c>
      <c r="AH84" s="52">
        <v>47885.9</v>
      </c>
      <c r="AI84" s="48">
        <v>16.100000000000001</v>
      </c>
      <c r="AJ84" s="52">
        <v>420273.21</v>
      </c>
      <c r="AK84" s="52">
        <v>312992.84000000003</v>
      </c>
      <c r="AL84" s="52">
        <v>107175.53</v>
      </c>
      <c r="AM84" s="48">
        <v>313</v>
      </c>
    </row>
    <row r="85" spans="1:39">
      <c r="A85" s="38" t="s">
        <v>229</v>
      </c>
      <c r="B85" s="38" t="s">
        <v>45</v>
      </c>
      <c r="C85" s="38" t="s">
        <v>224</v>
      </c>
      <c r="D85" s="39">
        <v>46</v>
      </c>
      <c r="E85" s="41">
        <v>10</v>
      </c>
      <c r="F85" s="41">
        <v>3</v>
      </c>
      <c r="G85" s="41">
        <v>8</v>
      </c>
      <c r="H85" s="41">
        <v>10</v>
      </c>
      <c r="I85" s="41">
        <v>9</v>
      </c>
      <c r="J85" s="41">
        <v>9</v>
      </c>
      <c r="K85" s="40">
        <v>0.81020000000000003</v>
      </c>
      <c r="L85" s="48">
        <v>567.53</v>
      </c>
      <c r="M85" s="48">
        <v>127.09</v>
      </c>
      <c r="N85" s="48">
        <v>1.27</v>
      </c>
      <c r="O85" s="48">
        <v>805.85</v>
      </c>
      <c r="P85" s="48">
        <v>169.69</v>
      </c>
      <c r="Q85" s="48">
        <v>631.52</v>
      </c>
      <c r="R85" s="48">
        <v>133.5</v>
      </c>
      <c r="S85" s="52">
        <v>1321.27</v>
      </c>
      <c r="T85" s="48">
        <v>278.56</v>
      </c>
      <c r="U85" s="48">
        <v>2.59</v>
      </c>
      <c r="V85" s="52">
        <v>2436.5300000000002</v>
      </c>
      <c r="W85" s="48">
        <v>470.44</v>
      </c>
      <c r="X85" s="52">
        <v>1928.05</v>
      </c>
      <c r="Y85" s="48">
        <v>94.5</v>
      </c>
      <c r="Z85" s="52">
        <v>1516.45</v>
      </c>
      <c r="AA85" s="48">
        <v>301.11</v>
      </c>
      <c r="AB85" s="48">
        <v>1.51</v>
      </c>
      <c r="AC85" s="52">
        <v>2501.94</v>
      </c>
      <c r="AD85" s="48">
        <v>496.08</v>
      </c>
      <c r="AE85" s="52">
        <v>1978.16</v>
      </c>
      <c r="AF85" s="48">
        <v>39</v>
      </c>
      <c r="AG85" s="52">
        <v>1555.58</v>
      </c>
      <c r="AH85" s="48">
        <v>340.73</v>
      </c>
      <c r="AI85" s="48">
        <v>1.7</v>
      </c>
      <c r="AJ85" s="52">
        <v>2645.38</v>
      </c>
      <c r="AK85" s="48">
        <v>501.25</v>
      </c>
      <c r="AL85" s="52">
        <v>2132.27</v>
      </c>
      <c r="AM85" s="48">
        <v>15.3</v>
      </c>
    </row>
    <row r="86" spans="1:39">
      <c r="A86" s="7" t="s">
        <v>235</v>
      </c>
      <c r="B86" s="7" t="s">
        <v>45</v>
      </c>
      <c r="C86" s="7" t="s">
        <v>224</v>
      </c>
      <c r="D86" s="36">
        <v>40</v>
      </c>
      <c r="E86" s="37">
        <v>4</v>
      </c>
      <c r="F86" s="37">
        <v>3</v>
      </c>
      <c r="G86" s="37">
        <v>9</v>
      </c>
      <c r="H86" s="37">
        <v>3</v>
      </c>
      <c r="I86" s="37">
        <v>7</v>
      </c>
      <c r="J86" s="37">
        <v>10</v>
      </c>
      <c r="K86" s="19">
        <v>0.2</v>
      </c>
      <c r="L86" s="69">
        <v>10293.530000000001</v>
      </c>
      <c r="M86" s="52">
        <v>8850.49</v>
      </c>
      <c r="N86" s="48">
        <v>0.71</v>
      </c>
      <c r="O86" s="52">
        <v>99493.17</v>
      </c>
      <c r="P86" s="52">
        <v>14346.34</v>
      </c>
      <c r="Q86" s="52">
        <v>85146.84</v>
      </c>
      <c r="R86" s="48">
        <v>8.0500000000000007</v>
      </c>
      <c r="S86" s="52">
        <v>9514.85</v>
      </c>
      <c r="T86" s="52">
        <v>7960.78</v>
      </c>
      <c r="U86" s="48">
        <v>1</v>
      </c>
      <c r="V86" s="52">
        <v>80407.62</v>
      </c>
      <c r="W86" s="52">
        <v>13199.97</v>
      </c>
      <c r="X86" s="52">
        <v>67207.649999999994</v>
      </c>
      <c r="Y86" s="48">
        <v>6.25</v>
      </c>
      <c r="Z86" s="52">
        <v>7526.73</v>
      </c>
      <c r="AA86" s="52">
        <v>5979.01</v>
      </c>
      <c r="AB86" s="48">
        <v>0.75</v>
      </c>
      <c r="AC86" s="52">
        <v>78779.06</v>
      </c>
      <c r="AD86" s="52">
        <v>11892.29</v>
      </c>
      <c r="AE86" s="52">
        <v>66886.77</v>
      </c>
      <c r="AF86" s="48">
        <v>5.2</v>
      </c>
      <c r="AG86" s="52">
        <v>7516.9</v>
      </c>
      <c r="AH86" s="52">
        <v>6244.26</v>
      </c>
      <c r="AI86" s="48">
        <v>0.78</v>
      </c>
      <c r="AJ86" s="52">
        <v>79524.639999999999</v>
      </c>
      <c r="AK86" s="52">
        <v>10487.85</v>
      </c>
      <c r="AL86" s="52">
        <v>69036.789999999994</v>
      </c>
      <c r="AM86" s="48">
        <v>6.3</v>
      </c>
    </row>
    <row r="87" spans="1:39">
      <c r="A87" s="38" t="s">
        <v>236</v>
      </c>
      <c r="B87" s="38" t="s">
        <v>45</v>
      </c>
      <c r="C87" s="38" t="s">
        <v>224</v>
      </c>
      <c r="D87" s="39">
        <v>40</v>
      </c>
      <c r="E87" s="41">
        <v>8</v>
      </c>
      <c r="F87" s="41">
        <v>10</v>
      </c>
      <c r="G87" s="41">
        <v>6</v>
      </c>
      <c r="H87" s="41">
        <v>3</v>
      </c>
      <c r="I87" s="41">
        <v>7</v>
      </c>
      <c r="J87" s="41">
        <v>6</v>
      </c>
      <c r="K87" s="40">
        <v>0.16769999999999999</v>
      </c>
      <c r="L87" s="52">
        <v>9451.82</v>
      </c>
      <c r="M87" s="48">
        <v>244.87</v>
      </c>
      <c r="N87" s="48">
        <v>0.96</v>
      </c>
      <c r="O87" s="52">
        <v>4567.47</v>
      </c>
      <c r="P87" s="52">
        <v>2492.2199999999998</v>
      </c>
      <c r="Q87" s="52">
        <v>2072.1999999999998</v>
      </c>
      <c r="R87" s="48">
        <v>9.4</v>
      </c>
      <c r="S87" s="52">
        <v>9545.81</v>
      </c>
      <c r="T87" s="48">
        <v>285.04000000000002</v>
      </c>
      <c r="U87" s="48">
        <v>0.79</v>
      </c>
      <c r="V87" s="52">
        <v>3778.04</v>
      </c>
      <c r="W87" s="52">
        <v>1561.71</v>
      </c>
      <c r="X87" s="52">
        <v>2213.2399999999998</v>
      </c>
      <c r="Y87" s="48">
        <v>8.85</v>
      </c>
      <c r="Z87" s="52">
        <v>9117.86</v>
      </c>
      <c r="AA87" s="48">
        <v>255.88</v>
      </c>
      <c r="AB87" s="48">
        <v>0.71</v>
      </c>
      <c r="AC87" s="52">
        <v>4609.3999999999996</v>
      </c>
      <c r="AD87" s="52">
        <v>2329.04</v>
      </c>
      <c r="AE87" s="52">
        <v>2279.73</v>
      </c>
      <c r="AF87" s="48">
        <v>8</v>
      </c>
      <c r="AG87" s="52">
        <v>9271.75</v>
      </c>
      <c r="AH87" s="48">
        <v>169.26</v>
      </c>
      <c r="AI87" s="48">
        <v>0.47</v>
      </c>
      <c r="AJ87" s="52">
        <v>4345.66</v>
      </c>
      <c r="AK87" s="52">
        <v>2076.0500000000002</v>
      </c>
      <c r="AL87" s="52">
        <v>2268.9899999999998</v>
      </c>
      <c r="AM87" s="48">
        <v>7.85</v>
      </c>
    </row>
    <row r="88" spans="1:39">
      <c r="A88" s="7" t="s">
        <v>238</v>
      </c>
      <c r="B88" s="7" t="s">
        <v>45</v>
      </c>
      <c r="C88" s="7" t="s">
        <v>224</v>
      </c>
      <c r="D88" s="36">
        <v>38</v>
      </c>
      <c r="E88" s="37">
        <v>10</v>
      </c>
      <c r="F88" s="37">
        <v>10</v>
      </c>
      <c r="G88" s="37">
        <v>3</v>
      </c>
      <c r="H88" s="37">
        <v>3</v>
      </c>
      <c r="I88" s="37">
        <v>8</v>
      </c>
      <c r="J88" s="37">
        <v>3</v>
      </c>
      <c r="K88" s="19">
        <v>0.46610000000000001</v>
      </c>
      <c r="L88" s="52">
        <v>4781.59</v>
      </c>
      <c r="M88" s="48">
        <v>266.64999999999998</v>
      </c>
      <c r="N88" s="48">
        <v>0.63</v>
      </c>
      <c r="O88" s="52">
        <v>4036.73</v>
      </c>
      <c r="P88" s="52">
        <v>2896.66</v>
      </c>
      <c r="Q88" s="52">
        <v>1133.44</v>
      </c>
      <c r="R88" s="48">
        <v>0</v>
      </c>
      <c r="S88" s="52">
        <v>5358.17</v>
      </c>
      <c r="T88" s="48">
        <v>251.8</v>
      </c>
      <c r="U88" s="48">
        <v>0.39</v>
      </c>
      <c r="V88" s="52">
        <v>5569.05</v>
      </c>
      <c r="W88" s="52">
        <v>3382.92</v>
      </c>
      <c r="X88" s="52">
        <v>2178.91</v>
      </c>
      <c r="Y88" s="48">
        <v>4.38</v>
      </c>
      <c r="Z88" s="52">
        <v>6199.65</v>
      </c>
      <c r="AA88" s="48">
        <v>236.53</v>
      </c>
      <c r="AB88" s="48">
        <v>0.34</v>
      </c>
      <c r="AC88" s="52">
        <v>6182.13</v>
      </c>
      <c r="AD88" s="52">
        <v>3960.41</v>
      </c>
      <c r="AE88" s="52">
        <v>2198.06</v>
      </c>
      <c r="AF88" s="48">
        <v>3.02</v>
      </c>
      <c r="AG88" s="52">
        <v>6262.36</v>
      </c>
      <c r="AH88" s="48">
        <v>307.54000000000002</v>
      </c>
      <c r="AI88" s="48">
        <v>0.44</v>
      </c>
      <c r="AJ88" s="52">
        <v>6716.76</v>
      </c>
      <c r="AK88" s="52">
        <v>4395.88</v>
      </c>
      <c r="AL88" s="52">
        <v>2286.7800000000002</v>
      </c>
      <c r="AM88" s="48">
        <v>3.42</v>
      </c>
    </row>
    <row r="89" spans="1:39">
      <c r="A89" s="38" t="s">
        <v>223</v>
      </c>
      <c r="B89" s="38" t="s">
        <v>45</v>
      </c>
      <c r="C89" s="38" t="s">
        <v>224</v>
      </c>
      <c r="D89" s="39">
        <v>53</v>
      </c>
      <c r="E89" s="41">
        <v>8</v>
      </c>
      <c r="F89" s="41">
        <v>10</v>
      </c>
      <c r="G89" s="41">
        <v>9</v>
      </c>
      <c r="H89" s="41">
        <v>10</v>
      </c>
      <c r="I89" s="41">
        <v>6</v>
      </c>
      <c r="J89" s="41">
        <v>10</v>
      </c>
      <c r="K89" s="40">
        <v>1.1505000000000001</v>
      </c>
      <c r="L89" s="52">
        <v>1073.5</v>
      </c>
      <c r="M89" s="48">
        <v>180.92</v>
      </c>
      <c r="N89" s="48">
        <v>0.26</v>
      </c>
      <c r="O89" s="52">
        <v>3903.13</v>
      </c>
      <c r="P89" s="48">
        <v>481.46</v>
      </c>
      <c r="Q89" s="52">
        <v>3414.74</v>
      </c>
      <c r="R89" s="48">
        <v>11.1</v>
      </c>
      <c r="S89" s="52">
        <v>1336.68</v>
      </c>
      <c r="T89" s="48">
        <v>308.19</v>
      </c>
      <c r="U89" s="48">
        <v>0.36</v>
      </c>
      <c r="V89" s="52">
        <v>4099.34</v>
      </c>
      <c r="W89" s="48">
        <v>499.65</v>
      </c>
      <c r="X89" s="52">
        <v>3578.02</v>
      </c>
      <c r="Y89" s="48">
        <v>10.5</v>
      </c>
      <c r="Z89" s="52">
        <v>1470.13</v>
      </c>
      <c r="AA89" s="48">
        <v>343.97</v>
      </c>
      <c r="AB89" s="48">
        <v>0.4</v>
      </c>
      <c r="AC89" s="52">
        <v>4215.4399999999996</v>
      </c>
      <c r="AD89" s="48">
        <v>529.65</v>
      </c>
      <c r="AE89" s="52">
        <v>3680.1</v>
      </c>
      <c r="AF89" s="48">
        <v>8.4</v>
      </c>
      <c r="AG89" s="52">
        <v>1554.67</v>
      </c>
      <c r="AH89" s="48">
        <v>345.53</v>
      </c>
      <c r="AI89" s="48">
        <v>0.41</v>
      </c>
      <c r="AJ89" s="52">
        <v>3921.18</v>
      </c>
      <c r="AK89" s="48">
        <v>586.22</v>
      </c>
      <c r="AL89" s="52">
        <v>3331.26</v>
      </c>
      <c r="AM89" s="48">
        <v>5.05</v>
      </c>
    </row>
    <row r="90" spans="1:39">
      <c r="A90" s="7" t="s">
        <v>148</v>
      </c>
      <c r="B90" s="7" t="s">
        <v>43</v>
      </c>
      <c r="C90" s="7" t="s">
        <v>143</v>
      </c>
      <c r="D90" s="36">
        <v>51</v>
      </c>
      <c r="E90" s="37">
        <v>9</v>
      </c>
      <c r="F90" s="37">
        <v>10</v>
      </c>
      <c r="G90" s="37">
        <v>3</v>
      </c>
      <c r="H90" s="37">
        <v>10</v>
      </c>
      <c r="I90" s="37">
        <v>9</v>
      </c>
      <c r="J90" s="37">
        <v>3</v>
      </c>
      <c r="K90" s="19">
        <v>0.63859999999999995</v>
      </c>
      <c r="L90" s="52">
        <v>852605.22</v>
      </c>
      <c r="M90" s="52">
        <v>13271.71</v>
      </c>
      <c r="N90" s="48">
        <v>1.39</v>
      </c>
      <c r="O90" s="52">
        <v>924061.49</v>
      </c>
      <c r="P90" s="52">
        <v>633760.18999999994</v>
      </c>
      <c r="Q90" s="52">
        <v>100724.2</v>
      </c>
      <c r="R90" s="48">
        <v>68.25</v>
      </c>
      <c r="S90" s="52">
        <v>920841.35</v>
      </c>
      <c r="T90" s="52">
        <v>18482.13</v>
      </c>
      <c r="U90" s="48">
        <v>2.0099999999999998</v>
      </c>
      <c r="V90" s="52">
        <v>926491.19</v>
      </c>
      <c r="W90" s="52">
        <v>624896.07999999996</v>
      </c>
      <c r="X90" s="52">
        <v>110995.45</v>
      </c>
      <c r="Y90" s="48">
        <v>56</v>
      </c>
      <c r="Z90" s="52">
        <v>987734.48</v>
      </c>
      <c r="AA90" s="52">
        <v>25345.84</v>
      </c>
      <c r="AB90" s="48">
        <v>2.77</v>
      </c>
      <c r="AC90" s="52">
        <v>944120.29</v>
      </c>
      <c r="AD90" s="52">
        <v>624509.56999999995</v>
      </c>
      <c r="AE90" s="52">
        <v>126860.24</v>
      </c>
      <c r="AF90" s="48">
        <v>55.75</v>
      </c>
      <c r="AG90" s="52">
        <v>1022142.85</v>
      </c>
      <c r="AH90" s="52">
        <v>28206.1</v>
      </c>
      <c r="AI90" s="48">
        <v>3.1</v>
      </c>
      <c r="AJ90" s="52">
        <v>982813.58</v>
      </c>
      <c r="AK90" s="52">
        <v>651269.19999999995</v>
      </c>
      <c r="AL90" s="52">
        <v>138141.37</v>
      </c>
      <c r="AM90" s="48">
        <v>43.5</v>
      </c>
    </row>
    <row r="91" spans="1:39">
      <c r="A91" s="38" t="s">
        <v>154</v>
      </c>
      <c r="B91" s="38" t="s">
        <v>43</v>
      </c>
      <c r="C91" s="38" t="s">
        <v>143</v>
      </c>
      <c r="D91" s="39">
        <v>41</v>
      </c>
      <c r="E91" s="41">
        <v>9</v>
      </c>
      <c r="F91" s="41">
        <v>10</v>
      </c>
      <c r="G91" s="41">
        <v>3</v>
      </c>
      <c r="H91" s="41">
        <v>6</v>
      </c>
      <c r="I91" s="41">
        <v>7</v>
      </c>
      <c r="J91" s="41">
        <v>3</v>
      </c>
      <c r="K91" s="40">
        <v>0.75019999999999998</v>
      </c>
      <c r="L91" s="52">
        <v>236244.78</v>
      </c>
      <c r="M91" s="52">
        <v>7174.99</v>
      </c>
      <c r="N91" s="48">
        <v>1.19</v>
      </c>
      <c r="O91" s="52">
        <v>275984.44</v>
      </c>
      <c r="P91" s="52">
        <v>211099.29</v>
      </c>
      <c r="Q91" s="52">
        <v>62122.89</v>
      </c>
      <c r="R91" s="48">
        <v>46.25</v>
      </c>
      <c r="S91" s="52">
        <v>248688.43</v>
      </c>
      <c r="T91" s="52">
        <v>8016.31</v>
      </c>
      <c r="U91" s="48">
        <v>1.33</v>
      </c>
      <c r="V91" s="52">
        <v>287097.11</v>
      </c>
      <c r="W91" s="52">
        <v>216836.84</v>
      </c>
      <c r="X91" s="52">
        <v>67059.509999999995</v>
      </c>
      <c r="Y91" s="48">
        <v>41</v>
      </c>
      <c r="Z91" s="52">
        <v>244370.54</v>
      </c>
      <c r="AA91" s="52">
        <v>8136.31</v>
      </c>
      <c r="AB91" s="48">
        <v>1.35</v>
      </c>
      <c r="AC91" s="52">
        <v>291048.99</v>
      </c>
      <c r="AD91" s="52">
        <v>218668.4</v>
      </c>
      <c r="AE91" s="52">
        <v>68976.92</v>
      </c>
      <c r="AF91" s="48">
        <v>34</v>
      </c>
      <c r="AG91" s="52">
        <v>253164.51</v>
      </c>
      <c r="AH91" s="52">
        <v>7411.45</v>
      </c>
      <c r="AI91" s="48">
        <v>1.23</v>
      </c>
      <c r="AJ91" s="52">
        <v>246848.5</v>
      </c>
      <c r="AK91" s="52">
        <v>177561.32</v>
      </c>
      <c r="AL91" s="52">
        <v>65468.59</v>
      </c>
      <c r="AM91" s="48">
        <v>18</v>
      </c>
    </row>
    <row r="92" spans="1:39">
      <c r="A92" s="7" t="s">
        <v>142</v>
      </c>
      <c r="B92" s="7" t="s">
        <v>43</v>
      </c>
      <c r="C92" s="7" t="s">
        <v>143</v>
      </c>
      <c r="D92" s="36">
        <v>55</v>
      </c>
      <c r="E92" s="37">
        <v>9</v>
      </c>
      <c r="F92" s="37">
        <v>10</v>
      </c>
      <c r="G92" s="37">
        <v>8</v>
      </c>
      <c r="H92" s="37">
        <v>10</v>
      </c>
      <c r="I92" s="37">
        <v>10</v>
      </c>
      <c r="J92" s="37">
        <v>8</v>
      </c>
      <c r="K92" s="19">
        <v>0.57869999999999999</v>
      </c>
      <c r="L92" s="52">
        <v>1875.16</v>
      </c>
      <c r="M92" s="48">
        <v>327</v>
      </c>
      <c r="N92" s="48">
        <v>0.37</v>
      </c>
      <c r="O92" s="52">
        <v>2122.7199999999998</v>
      </c>
      <c r="P92" s="48">
        <v>757.92</v>
      </c>
      <c r="Q92" s="52">
        <v>1302.8499999999999</v>
      </c>
      <c r="R92" s="48">
        <v>7.95</v>
      </c>
      <c r="S92" s="52">
        <v>2455.5</v>
      </c>
      <c r="T92" s="48">
        <v>660.97</v>
      </c>
      <c r="U92" s="48">
        <v>0.71</v>
      </c>
      <c r="V92" s="52">
        <v>4249.92</v>
      </c>
      <c r="W92" s="48">
        <v>945.47</v>
      </c>
      <c r="X92" s="52">
        <v>3240.3</v>
      </c>
      <c r="Y92" s="48">
        <v>13.1</v>
      </c>
      <c r="Z92" s="52">
        <v>3203.9</v>
      </c>
      <c r="AA92" s="48">
        <v>677.96</v>
      </c>
      <c r="AB92" s="48">
        <v>0.53</v>
      </c>
      <c r="AC92" s="52">
        <v>4723.24</v>
      </c>
      <c r="AD92" s="52">
        <v>1225.7</v>
      </c>
      <c r="AE92" s="52">
        <v>3429.63</v>
      </c>
      <c r="AF92" s="48">
        <v>11</v>
      </c>
      <c r="AG92" s="52">
        <v>3484.14</v>
      </c>
      <c r="AH92" s="48">
        <v>706.69</v>
      </c>
      <c r="AI92" s="48">
        <v>0.55000000000000004</v>
      </c>
      <c r="AJ92" s="52">
        <v>5041.13</v>
      </c>
      <c r="AK92" s="52">
        <v>1499.98</v>
      </c>
      <c r="AL92" s="52">
        <v>3474.35</v>
      </c>
      <c r="AM92" s="48">
        <v>8.9499999999999993</v>
      </c>
    </row>
    <row r="93" spans="1:39">
      <c r="A93" s="38" t="s">
        <v>151</v>
      </c>
      <c r="B93" s="38" t="s">
        <v>43</v>
      </c>
      <c r="C93" s="38" t="s">
        <v>152</v>
      </c>
      <c r="D93" s="39">
        <v>47</v>
      </c>
      <c r="E93" s="41">
        <v>7</v>
      </c>
      <c r="F93" s="41">
        <v>10</v>
      </c>
      <c r="G93" s="41">
        <v>7</v>
      </c>
      <c r="H93" s="41">
        <v>9</v>
      </c>
      <c r="I93" s="41">
        <v>8</v>
      </c>
      <c r="J93" s="41">
        <v>8</v>
      </c>
      <c r="K93" s="40">
        <v>0.79430000000000001</v>
      </c>
      <c r="L93" s="52">
        <v>93055.58</v>
      </c>
      <c r="M93" s="52">
        <v>12606.2</v>
      </c>
      <c r="N93" s="48">
        <v>0.79</v>
      </c>
      <c r="O93" s="52">
        <v>141542.85999999999</v>
      </c>
      <c r="P93" s="52">
        <v>47830.07</v>
      </c>
      <c r="Q93" s="52">
        <v>89879.25</v>
      </c>
      <c r="R93" s="48">
        <v>29</v>
      </c>
      <c r="S93" s="52">
        <v>102327.27</v>
      </c>
      <c r="T93" s="52">
        <v>14357.74</v>
      </c>
      <c r="U93" s="48">
        <v>0.9</v>
      </c>
      <c r="V93" s="52">
        <v>143792.41</v>
      </c>
      <c r="W93" s="52">
        <v>44701.18</v>
      </c>
      <c r="X93" s="52">
        <v>95441.84</v>
      </c>
      <c r="Y93" s="48">
        <v>27.75</v>
      </c>
      <c r="Z93" s="52">
        <v>109587.61</v>
      </c>
      <c r="AA93" s="52">
        <v>15987.01</v>
      </c>
      <c r="AB93" s="48">
        <v>1.01</v>
      </c>
      <c r="AC93" s="52">
        <v>151514.07</v>
      </c>
      <c r="AD93" s="52">
        <v>47587.56</v>
      </c>
      <c r="AE93" s="52">
        <v>100036.58</v>
      </c>
      <c r="AF93" s="48">
        <v>24.5</v>
      </c>
      <c r="AG93" s="52">
        <v>113385.87</v>
      </c>
      <c r="AH93" s="52">
        <v>15848.22</v>
      </c>
      <c r="AI93" s="48">
        <v>1</v>
      </c>
      <c r="AJ93" s="52">
        <v>157961.09</v>
      </c>
      <c r="AK93" s="52">
        <v>47952.32</v>
      </c>
      <c r="AL93" s="52">
        <v>105894.28</v>
      </c>
      <c r="AM93" s="48">
        <v>19.3</v>
      </c>
    </row>
    <row r="94" spans="1:39">
      <c r="A94" s="7" t="s">
        <v>157</v>
      </c>
      <c r="B94" s="7" t="s">
        <v>43</v>
      </c>
      <c r="C94" s="7" t="s">
        <v>152</v>
      </c>
      <c r="D94" s="36">
        <v>38</v>
      </c>
      <c r="E94" s="37">
        <v>2</v>
      </c>
      <c r="F94" s="37">
        <v>3</v>
      </c>
      <c r="G94" s="37">
        <v>3</v>
      </c>
      <c r="H94" s="37">
        <v>3</v>
      </c>
      <c r="I94" s="37">
        <v>6</v>
      </c>
      <c r="J94" s="37">
        <v>5</v>
      </c>
      <c r="K94" s="19">
        <v>1.1657</v>
      </c>
      <c r="L94" s="52">
        <v>5351.39</v>
      </c>
      <c r="M94" s="48">
        <v>483.89</v>
      </c>
      <c r="N94" s="48">
        <v>0.12</v>
      </c>
      <c r="O94" s="52">
        <v>14113.36</v>
      </c>
      <c r="P94" s="52">
        <v>6252.83</v>
      </c>
      <c r="Q94" s="52">
        <v>4984.67</v>
      </c>
      <c r="R94" s="48">
        <v>2.72</v>
      </c>
      <c r="S94" s="52">
        <v>5244.32</v>
      </c>
      <c r="T94" s="48">
        <v>217.75</v>
      </c>
      <c r="U94" s="48">
        <v>0.05</v>
      </c>
      <c r="V94" s="52">
        <v>12382.75</v>
      </c>
      <c r="W94" s="52">
        <v>5548.23</v>
      </c>
      <c r="X94" s="52">
        <v>4375.22</v>
      </c>
      <c r="Y94" s="48">
        <v>2</v>
      </c>
      <c r="Z94" s="52">
        <v>5424.86</v>
      </c>
      <c r="AA94" s="48">
        <v>130.51</v>
      </c>
      <c r="AB94" s="48">
        <v>0.03</v>
      </c>
      <c r="AC94" s="52">
        <v>11016.46</v>
      </c>
      <c r="AD94" s="52">
        <v>5137.9399999999996</v>
      </c>
      <c r="AE94" s="52">
        <v>3769.33</v>
      </c>
      <c r="AF94" s="48">
        <v>1.76</v>
      </c>
      <c r="AG94" s="52">
        <v>5068.63</v>
      </c>
      <c r="AH94" s="52">
        <v>2445.9899999999998</v>
      </c>
      <c r="AI94" s="48">
        <v>0.6</v>
      </c>
      <c r="AJ94" s="52">
        <v>8152.77</v>
      </c>
      <c r="AK94" s="52">
        <v>3589.41</v>
      </c>
      <c r="AL94" s="52">
        <v>4499.22</v>
      </c>
      <c r="AM94" s="48">
        <v>1.42</v>
      </c>
    </row>
    <row r="95" spans="1:39">
      <c r="A95" s="38" t="s">
        <v>159</v>
      </c>
      <c r="B95" s="38" t="s">
        <v>43</v>
      </c>
      <c r="C95" s="38" t="s">
        <v>152</v>
      </c>
      <c r="D95" s="39">
        <v>35</v>
      </c>
      <c r="E95" s="41">
        <v>2</v>
      </c>
      <c r="F95" s="41">
        <v>3</v>
      </c>
      <c r="G95" s="41">
        <v>7</v>
      </c>
      <c r="H95" s="41">
        <v>3</v>
      </c>
      <c r="I95" s="41">
        <v>8</v>
      </c>
      <c r="J95" s="41">
        <v>9</v>
      </c>
      <c r="K95" s="40">
        <v>1.0346</v>
      </c>
      <c r="L95" s="52">
        <v>18918.47</v>
      </c>
      <c r="M95" s="52">
        <v>3038.91</v>
      </c>
      <c r="N95" s="48">
        <v>1.22</v>
      </c>
      <c r="O95" s="52">
        <v>19796.46</v>
      </c>
      <c r="P95" s="52">
        <v>6286.66</v>
      </c>
      <c r="Q95" s="52">
        <v>12444.9</v>
      </c>
      <c r="R95" s="48">
        <v>20.5</v>
      </c>
      <c r="S95" s="52">
        <v>11848.13</v>
      </c>
      <c r="T95" s="52">
        <v>1406.36</v>
      </c>
      <c r="U95" s="48">
        <v>0.56000000000000005</v>
      </c>
      <c r="V95" s="52">
        <v>17730.689999999999</v>
      </c>
      <c r="W95" s="52">
        <v>4026.23</v>
      </c>
      <c r="X95" s="52">
        <v>12593.97</v>
      </c>
      <c r="Y95" s="48">
        <v>22.4</v>
      </c>
      <c r="Z95" s="52">
        <v>11846.15</v>
      </c>
      <c r="AA95" s="52">
        <v>1282.3699999999999</v>
      </c>
      <c r="AB95" s="48">
        <v>0.51</v>
      </c>
      <c r="AC95" s="52">
        <v>17374.849999999999</v>
      </c>
      <c r="AD95" s="52">
        <v>3347.88</v>
      </c>
      <c r="AE95" s="52">
        <v>12955.42</v>
      </c>
      <c r="AF95" s="48">
        <v>15.3</v>
      </c>
      <c r="AG95" s="52">
        <v>12035.15</v>
      </c>
      <c r="AH95" s="52">
        <v>1316.36</v>
      </c>
      <c r="AI95" s="48">
        <v>0.53</v>
      </c>
      <c r="AJ95" s="52">
        <v>17486.09</v>
      </c>
      <c r="AK95" s="52">
        <v>3279.26</v>
      </c>
      <c r="AL95" s="52">
        <v>13185.86</v>
      </c>
      <c r="AM95" s="48">
        <v>10.4</v>
      </c>
    </row>
    <row r="96" spans="1:39">
      <c r="A96" s="7" t="s">
        <v>144</v>
      </c>
      <c r="B96" s="7" t="s">
        <v>43</v>
      </c>
      <c r="C96" s="7" t="s">
        <v>145</v>
      </c>
      <c r="D96" s="36">
        <v>53</v>
      </c>
      <c r="E96" s="37">
        <v>10</v>
      </c>
      <c r="F96" s="37">
        <v>10</v>
      </c>
      <c r="G96" s="37">
        <v>6</v>
      </c>
      <c r="H96" s="37">
        <v>10</v>
      </c>
      <c r="I96" s="37">
        <v>7</v>
      </c>
      <c r="J96" s="37">
        <v>6</v>
      </c>
      <c r="K96" s="19">
        <v>1.1214</v>
      </c>
      <c r="L96" s="52">
        <v>6706.16</v>
      </c>
      <c r="M96" s="48">
        <v>703.17</v>
      </c>
      <c r="N96" s="48">
        <v>0.17</v>
      </c>
      <c r="O96" s="52">
        <v>15397.42</v>
      </c>
      <c r="P96" s="52">
        <v>7173.63</v>
      </c>
      <c r="Q96" s="52">
        <v>7921.87</v>
      </c>
      <c r="R96" s="48">
        <v>7.6</v>
      </c>
      <c r="S96" s="52">
        <v>8445.89</v>
      </c>
      <c r="T96" s="48">
        <v>911.25</v>
      </c>
      <c r="U96" s="48">
        <v>0.21</v>
      </c>
      <c r="V96" s="52">
        <v>16244.74</v>
      </c>
      <c r="W96" s="52">
        <v>7294.87</v>
      </c>
      <c r="X96" s="52">
        <v>8671.7099999999991</v>
      </c>
      <c r="Y96" s="48">
        <v>8.85</v>
      </c>
      <c r="Z96" s="52">
        <v>9237.92</v>
      </c>
      <c r="AA96" s="52">
        <v>1050.3800000000001</v>
      </c>
      <c r="AB96" s="48">
        <v>0.24</v>
      </c>
      <c r="AC96" s="52">
        <v>16678.18</v>
      </c>
      <c r="AD96" s="52">
        <v>6715.56</v>
      </c>
      <c r="AE96" s="52">
        <v>9722.5400000000009</v>
      </c>
      <c r="AF96" s="48">
        <v>7.1</v>
      </c>
      <c r="AG96" s="52">
        <v>9610.08</v>
      </c>
      <c r="AH96" s="52">
        <v>1105.3399999999999</v>
      </c>
      <c r="AI96" s="48">
        <v>0.25</v>
      </c>
      <c r="AJ96" s="52">
        <v>19470.88</v>
      </c>
      <c r="AK96" s="52">
        <v>6879.29</v>
      </c>
      <c r="AL96" s="52">
        <v>11705.97</v>
      </c>
      <c r="AM96" s="48">
        <v>3.9</v>
      </c>
    </row>
    <row r="97" spans="1:39">
      <c r="A97" s="38" t="s">
        <v>160</v>
      </c>
      <c r="B97" s="38" t="s">
        <v>43</v>
      </c>
      <c r="C97" s="38" t="s">
        <v>145</v>
      </c>
      <c r="D97" s="39">
        <v>32</v>
      </c>
      <c r="E97" s="41">
        <v>5</v>
      </c>
      <c r="F97" s="41">
        <v>5</v>
      </c>
      <c r="G97" s="41">
        <v>8</v>
      </c>
      <c r="H97" s="41">
        <v>3</v>
      </c>
      <c r="I97" s="41">
        <v>6</v>
      </c>
      <c r="J97" s="41">
        <v>9</v>
      </c>
      <c r="K97" s="40">
        <v>0.72060000000000002</v>
      </c>
      <c r="L97" s="52">
        <v>6235.97</v>
      </c>
      <c r="M97" s="48">
        <v>738.53</v>
      </c>
      <c r="N97" s="48">
        <v>0.31</v>
      </c>
      <c r="O97" s="52">
        <v>9394.6200000000008</v>
      </c>
      <c r="P97" s="52">
        <v>2266.5</v>
      </c>
      <c r="Q97" s="52">
        <v>7133.83</v>
      </c>
      <c r="R97" s="48">
        <v>7.95</v>
      </c>
      <c r="S97" s="52">
        <v>6533.49</v>
      </c>
      <c r="T97" s="48">
        <v>505.09</v>
      </c>
      <c r="U97" s="48">
        <v>0.21</v>
      </c>
      <c r="V97" s="52">
        <v>9500.25</v>
      </c>
      <c r="W97" s="52">
        <v>2365.7800000000002</v>
      </c>
      <c r="X97" s="52">
        <v>7138.87</v>
      </c>
      <c r="Y97" s="48">
        <v>3.7</v>
      </c>
      <c r="Z97" s="52">
        <v>6700.96</v>
      </c>
      <c r="AA97" s="48">
        <v>421.02</v>
      </c>
      <c r="AB97" s="48">
        <v>0.18</v>
      </c>
      <c r="AC97" s="52">
        <v>9235.84</v>
      </c>
      <c r="AD97" s="52">
        <v>2194.11</v>
      </c>
      <c r="AE97" s="52">
        <v>7041.22</v>
      </c>
      <c r="AF97" s="48">
        <v>4.34</v>
      </c>
      <c r="AG97" s="52">
        <v>7331.32</v>
      </c>
      <c r="AH97" s="48">
        <v>450.47</v>
      </c>
      <c r="AI97" s="48">
        <v>0.19</v>
      </c>
      <c r="AJ97" s="52">
        <v>9975.2999999999993</v>
      </c>
      <c r="AK97" s="52">
        <v>2817.59</v>
      </c>
      <c r="AL97" s="52">
        <v>7158.32</v>
      </c>
      <c r="AM97" s="48">
        <v>2.14</v>
      </c>
    </row>
    <row r="98" spans="1:39">
      <c r="A98" s="7" t="s">
        <v>158</v>
      </c>
      <c r="B98" s="7" t="s">
        <v>43</v>
      </c>
      <c r="C98" s="7" t="s">
        <v>145</v>
      </c>
      <c r="D98" s="36">
        <v>36</v>
      </c>
      <c r="E98" s="37">
        <v>2</v>
      </c>
      <c r="F98" s="37">
        <v>3</v>
      </c>
      <c r="G98" s="37">
        <v>5</v>
      </c>
      <c r="H98" s="37">
        <v>10</v>
      </c>
      <c r="I98" s="37">
        <v>7</v>
      </c>
      <c r="J98" s="37">
        <v>5</v>
      </c>
      <c r="K98" s="19">
        <v>0.54720000000000002</v>
      </c>
      <c r="L98" s="52">
        <v>6749.4</v>
      </c>
      <c r="M98" s="48">
        <v>252.15</v>
      </c>
      <c r="N98" s="48">
        <v>0.28000000000000003</v>
      </c>
      <c r="O98" s="52">
        <v>14846.73</v>
      </c>
      <c r="P98" s="52">
        <v>7625.25</v>
      </c>
      <c r="Q98" s="52">
        <v>7091.85</v>
      </c>
      <c r="R98" s="48">
        <v>18.2</v>
      </c>
      <c r="S98" s="52">
        <v>8734.15</v>
      </c>
      <c r="T98" s="52">
        <v>1041.81</v>
      </c>
      <c r="U98" s="48">
        <v>1.18</v>
      </c>
      <c r="V98" s="52">
        <v>14425.95</v>
      </c>
      <c r="W98" s="52">
        <v>8313.7999999999993</v>
      </c>
      <c r="X98" s="52">
        <v>5990.88</v>
      </c>
      <c r="Y98" s="48">
        <v>14.9</v>
      </c>
      <c r="Z98" s="52">
        <v>7983.94</v>
      </c>
      <c r="AA98" s="48">
        <v>744.28</v>
      </c>
      <c r="AB98" s="48">
        <v>0.92</v>
      </c>
      <c r="AC98" s="52">
        <v>14039.03</v>
      </c>
      <c r="AD98" s="52">
        <v>8683.67</v>
      </c>
      <c r="AE98" s="52">
        <v>5209.3100000000004</v>
      </c>
      <c r="AF98" s="48">
        <v>14.7</v>
      </c>
      <c r="AG98" s="52">
        <v>7787.12</v>
      </c>
      <c r="AH98" s="48">
        <v>631.23</v>
      </c>
      <c r="AI98" s="48">
        <v>0.84</v>
      </c>
      <c r="AJ98" s="52">
        <v>12738.53</v>
      </c>
      <c r="AK98" s="52">
        <v>7812.84</v>
      </c>
      <c r="AL98" s="52">
        <v>4834.78</v>
      </c>
      <c r="AM98" s="48">
        <v>7.1</v>
      </c>
    </row>
    <row r="99" spans="1:39">
      <c r="A99" s="38" t="s">
        <v>140</v>
      </c>
      <c r="B99" s="38" t="s">
        <v>43</v>
      </c>
      <c r="C99" s="38" t="s">
        <v>141</v>
      </c>
      <c r="D99" s="39">
        <v>59</v>
      </c>
      <c r="E99" s="41">
        <v>10</v>
      </c>
      <c r="F99" s="41">
        <v>10</v>
      </c>
      <c r="G99" s="41">
        <v>7</v>
      </c>
      <c r="H99" s="41">
        <v>10</v>
      </c>
      <c r="I99" s="41">
        <v>10</v>
      </c>
      <c r="J99" s="41">
        <v>7</v>
      </c>
      <c r="K99" s="40">
        <v>1.1376999999999999</v>
      </c>
      <c r="L99" s="52">
        <v>1344.41</v>
      </c>
      <c r="M99" s="48">
        <v>369.28</v>
      </c>
      <c r="N99" s="48">
        <v>0.39</v>
      </c>
      <c r="O99" s="52">
        <v>3914.46</v>
      </c>
      <c r="P99" s="52">
        <v>1624.71</v>
      </c>
      <c r="Q99" s="52">
        <v>2289.75</v>
      </c>
      <c r="R99" s="48">
        <v>19.2</v>
      </c>
      <c r="S99" s="52">
        <v>1940.19</v>
      </c>
      <c r="T99" s="48">
        <v>653.53</v>
      </c>
      <c r="U99" s="48">
        <v>0.7</v>
      </c>
      <c r="V99" s="52">
        <v>4636.0200000000004</v>
      </c>
      <c r="W99" s="52">
        <v>1848.25</v>
      </c>
      <c r="X99" s="52">
        <v>2787.78</v>
      </c>
      <c r="Y99" s="48">
        <v>35.5</v>
      </c>
      <c r="Z99" s="52">
        <v>2418.85</v>
      </c>
      <c r="AA99" s="48">
        <v>885.19</v>
      </c>
      <c r="AB99" s="48">
        <v>0.94</v>
      </c>
      <c r="AC99" s="52">
        <v>5487.9</v>
      </c>
      <c r="AD99" s="52">
        <v>2106.34</v>
      </c>
      <c r="AE99" s="52">
        <v>3381.56</v>
      </c>
      <c r="AF99" s="48">
        <v>30</v>
      </c>
      <c r="AG99" s="52">
        <v>2581.5</v>
      </c>
      <c r="AH99" s="48">
        <v>961.98</v>
      </c>
      <c r="AI99" s="48">
        <v>1.02</v>
      </c>
      <c r="AJ99" s="52">
        <v>6165.26</v>
      </c>
      <c r="AK99" s="52">
        <v>2216.52</v>
      </c>
      <c r="AL99" s="52">
        <v>3948.74</v>
      </c>
      <c r="AM99" s="48">
        <v>11.2</v>
      </c>
    </row>
    <row r="100" spans="1:39">
      <c r="A100" s="7" t="s">
        <v>155</v>
      </c>
      <c r="B100" s="7" t="s">
        <v>43</v>
      </c>
      <c r="C100" s="7" t="s">
        <v>141</v>
      </c>
      <c r="D100" s="36">
        <v>40</v>
      </c>
      <c r="E100" s="37">
        <v>5</v>
      </c>
      <c r="F100" s="37">
        <v>10</v>
      </c>
      <c r="G100" s="37">
        <v>6</v>
      </c>
      <c r="H100" s="37">
        <v>3</v>
      </c>
      <c r="I100" s="37">
        <v>9</v>
      </c>
      <c r="J100" s="37">
        <v>5</v>
      </c>
      <c r="K100" s="19">
        <v>0.66920000000000002</v>
      </c>
      <c r="L100" s="52">
        <v>2318.7800000000002</v>
      </c>
      <c r="M100" s="48">
        <v>168.77</v>
      </c>
      <c r="N100" s="48">
        <v>0.38</v>
      </c>
      <c r="O100" s="52">
        <v>1917.75</v>
      </c>
      <c r="P100" s="48">
        <v>874.89</v>
      </c>
      <c r="Q100" s="52">
        <v>1042.8599999999999</v>
      </c>
      <c r="R100" s="48">
        <v>9.5500000000000007</v>
      </c>
      <c r="S100" s="52">
        <v>2382.4699999999998</v>
      </c>
      <c r="T100" s="48">
        <v>183.5</v>
      </c>
      <c r="U100" s="48">
        <v>0.41</v>
      </c>
      <c r="V100" s="52">
        <v>2074.34</v>
      </c>
      <c r="W100" s="52">
        <v>1043.7</v>
      </c>
      <c r="X100" s="52">
        <v>1030.6400000000001</v>
      </c>
      <c r="Y100" s="48">
        <v>7.25</v>
      </c>
      <c r="Z100" s="52">
        <v>2584.64</v>
      </c>
      <c r="AA100" s="48">
        <v>153.4</v>
      </c>
      <c r="AB100" s="48">
        <v>0.32</v>
      </c>
      <c r="AC100" s="52">
        <v>2351.48</v>
      </c>
      <c r="AD100" s="52">
        <v>1267.3399999999999</v>
      </c>
      <c r="AE100" s="52">
        <v>1084.1400000000001</v>
      </c>
      <c r="AF100" s="48">
        <v>4.42</v>
      </c>
      <c r="AG100" s="52">
        <v>2845.8</v>
      </c>
      <c r="AH100" s="48">
        <v>227.87</v>
      </c>
      <c r="AI100" s="48">
        <v>0.48</v>
      </c>
      <c r="AJ100" s="52">
        <v>2523.38</v>
      </c>
      <c r="AK100" s="52">
        <v>1403.68</v>
      </c>
      <c r="AL100" s="52">
        <v>1119.7</v>
      </c>
      <c r="AM100" s="48">
        <v>4.04</v>
      </c>
    </row>
    <row r="101" spans="1:39">
      <c r="A101" s="38" t="s">
        <v>156</v>
      </c>
      <c r="B101" s="38" t="s">
        <v>43</v>
      </c>
      <c r="C101" s="38" t="s">
        <v>150</v>
      </c>
      <c r="D101" s="39">
        <v>39</v>
      </c>
      <c r="E101" s="41">
        <v>10</v>
      </c>
      <c r="F101" s="41">
        <v>10</v>
      </c>
      <c r="G101" s="41">
        <v>5</v>
      </c>
      <c r="H101" s="41">
        <v>8</v>
      </c>
      <c r="I101" s="41">
        <v>4</v>
      </c>
      <c r="J101" s="41">
        <v>5</v>
      </c>
      <c r="K101" s="40">
        <v>1.7431000000000001</v>
      </c>
      <c r="L101" s="52">
        <v>8824.2900000000009</v>
      </c>
      <c r="M101" s="48">
        <v>14.38</v>
      </c>
      <c r="N101" s="48">
        <v>0</v>
      </c>
      <c r="O101" s="52">
        <v>36449.599999999999</v>
      </c>
      <c r="P101" s="52">
        <v>20430.43</v>
      </c>
      <c r="Q101" s="52">
        <v>16019.17</v>
      </c>
      <c r="R101" s="48">
        <v>4.08</v>
      </c>
      <c r="S101" s="52">
        <v>10096.75</v>
      </c>
      <c r="T101" s="48">
        <v>86.41</v>
      </c>
      <c r="U101" s="48">
        <v>0.02</v>
      </c>
      <c r="V101" s="52">
        <v>37722.699999999997</v>
      </c>
      <c r="W101" s="52">
        <v>21631.66</v>
      </c>
      <c r="X101" s="52">
        <v>16091.05</v>
      </c>
      <c r="Y101" s="48">
        <v>2.2599999999999998</v>
      </c>
      <c r="Z101" s="52">
        <v>10638.04</v>
      </c>
      <c r="AA101" s="48">
        <v>133.93</v>
      </c>
      <c r="AB101" s="48">
        <v>0.04</v>
      </c>
      <c r="AC101" s="52">
        <v>36325.360000000001</v>
      </c>
      <c r="AD101" s="52">
        <v>20399.52</v>
      </c>
      <c r="AE101" s="52">
        <v>15925.84</v>
      </c>
      <c r="AF101" s="48">
        <v>2.36</v>
      </c>
      <c r="AG101" s="52">
        <v>10479.959999999999</v>
      </c>
      <c r="AH101" s="52">
        <v>-1586.05</v>
      </c>
      <c r="AI101" s="48">
        <v>-0.44</v>
      </c>
      <c r="AJ101" s="52">
        <v>33003.410000000003</v>
      </c>
      <c r="AK101" s="52">
        <v>19630.189999999999</v>
      </c>
      <c r="AL101" s="52">
        <v>13373.22</v>
      </c>
      <c r="AM101" s="48">
        <v>1.71</v>
      </c>
    </row>
    <row r="102" spans="1:39">
      <c r="A102" s="7" t="s">
        <v>149</v>
      </c>
      <c r="B102" s="7" t="s">
        <v>43</v>
      </c>
      <c r="C102" s="7" t="s">
        <v>150</v>
      </c>
      <c r="D102" s="36">
        <v>48</v>
      </c>
      <c r="E102" s="37">
        <v>9</v>
      </c>
      <c r="F102" s="37">
        <v>10</v>
      </c>
      <c r="G102" s="37">
        <v>3</v>
      </c>
      <c r="H102" s="37">
        <v>10</v>
      </c>
      <c r="I102" s="37">
        <v>6</v>
      </c>
      <c r="J102" s="37">
        <v>3</v>
      </c>
      <c r="K102" s="19">
        <v>1.0552999999999999</v>
      </c>
      <c r="L102" s="52">
        <v>124205.85</v>
      </c>
      <c r="M102" s="52">
        <v>4286.37</v>
      </c>
      <c r="N102" s="48">
        <v>0.54</v>
      </c>
      <c r="O102" s="52">
        <v>358209.76</v>
      </c>
      <c r="P102" s="52">
        <v>275600.78999999998</v>
      </c>
      <c r="Q102" s="52">
        <v>71058.94</v>
      </c>
      <c r="R102" s="48">
        <v>32.25</v>
      </c>
      <c r="S102" s="52">
        <v>153049.24</v>
      </c>
      <c r="T102" s="52">
        <v>5407.06</v>
      </c>
      <c r="U102" s="48">
        <v>0.65</v>
      </c>
      <c r="V102" s="52">
        <v>359195.92</v>
      </c>
      <c r="W102" s="52">
        <v>271901.37</v>
      </c>
      <c r="X102" s="52">
        <v>76637.22</v>
      </c>
      <c r="Y102" s="48">
        <v>29.5</v>
      </c>
      <c r="Z102" s="52">
        <v>165362.26999999999</v>
      </c>
      <c r="AA102" s="52">
        <v>7750.22</v>
      </c>
      <c r="AB102" s="48">
        <v>1.06</v>
      </c>
      <c r="AC102" s="52">
        <v>346844.93</v>
      </c>
      <c r="AD102" s="52">
        <v>247708.1</v>
      </c>
      <c r="AE102" s="52">
        <v>87833.74</v>
      </c>
      <c r="AF102" s="48">
        <v>26</v>
      </c>
      <c r="AG102" s="52">
        <v>165804.71</v>
      </c>
      <c r="AH102" s="52">
        <v>9009.34</v>
      </c>
      <c r="AI102" s="48">
        <v>1.29</v>
      </c>
      <c r="AJ102" s="52">
        <v>357329.67</v>
      </c>
      <c r="AK102" s="52">
        <v>260344.01</v>
      </c>
      <c r="AL102" s="52">
        <v>89270.14</v>
      </c>
      <c r="AM102" s="48">
        <v>24.3</v>
      </c>
    </row>
    <row r="103" spans="1:39">
      <c r="A103" s="38" t="s">
        <v>146</v>
      </c>
      <c r="B103" s="38" t="s">
        <v>43</v>
      </c>
      <c r="C103" s="38" t="s">
        <v>147</v>
      </c>
      <c r="D103" s="39">
        <v>53</v>
      </c>
      <c r="E103" s="41">
        <v>8</v>
      </c>
      <c r="F103" s="41">
        <v>10</v>
      </c>
      <c r="G103" s="41">
        <v>6</v>
      </c>
      <c r="H103" s="41">
        <v>10</v>
      </c>
      <c r="I103" s="41">
        <v>4</v>
      </c>
      <c r="J103" s="41">
        <v>7</v>
      </c>
      <c r="K103" s="40">
        <v>1.2776000000000001</v>
      </c>
      <c r="L103" s="52">
        <v>16992.5</v>
      </c>
      <c r="M103" s="52">
        <v>-11087.87</v>
      </c>
      <c r="N103" s="48">
        <v>-0.78</v>
      </c>
      <c r="O103" s="52">
        <v>183812.92</v>
      </c>
      <c r="P103" s="52">
        <v>81294.320000000007</v>
      </c>
      <c r="Q103" s="52">
        <v>101323.97</v>
      </c>
      <c r="R103" s="48">
        <v>75</v>
      </c>
      <c r="S103" s="52">
        <v>48435.31</v>
      </c>
      <c r="T103" s="52">
        <v>8790.8700000000008</v>
      </c>
      <c r="U103" s="48">
        <v>0.62</v>
      </c>
      <c r="V103" s="52">
        <v>195611.09</v>
      </c>
      <c r="W103" s="52">
        <v>83432.899999999994</v>
      </c>
      <c r="X103" s="52">
        <v>110464.78</v>
      </c>
      <c r="Y103" s="48">
        <v>59.75</v>
      </c>
      <c r="Z103" s="52">
        <v>67733.919999999998</v>
      </c>
      <c r="AA103" s="52">
        <v>19182.39</v>
      </c>
      <c r="AB103" s="48">
        <v>1.34</v>
      </c>
      <c r="AC103" s="52">
        <v>206149.84</v>
      </c>
      <c r="AD103" s="52">
        <v>79750.92</v>
      </c>
      <c r="AE103" s="52">
        <v>124233.01</v>
      </c>
      <c r="AF103" s="48">
        <v>59.5</v>
      </c>
      <c r="AG103" s="52">
        <v>67491.210000000006</v>
      </c>
      <c r="AH103" s="52">
        <v>18125.21</v>
      </c>
      <c r="AI103" s="48">
        <v>1.27</v>
      </c>
      <c r="AJ103" s="52">
        <v>209932.23</v>
      </c>
      <c r="AK103" s="52">
        <v>77091.34</v>
      </c>
      <c r="AL103" s="52">
        <v>130898.23</v>
      </c>
      <c r="AM103" s="48">
        <v>53</v>
      </c>
    </row>
    <row r="104" spans="1:39">
      <c r="A104" s="7" t="s">
        <v>153</v>
      </c>
      <c r="B104" s="7" t="s">
        <v>43</v>
      </c>
      <c r="C104" s="7" t="s">
        <v>147</v>
      </c>
      <c r="D104" s="36">
        <v>43</v>
      </c>
      <c r="E104" s="37">
        <v>8</v>
      </c>
      <c r="F104" s="37">
        <v>5</v>
      </c>
      <c r="G104" s="37">
        <v>8</v>
      </c>
      <c r="H104" s="37">
        <v>3</v>
      </c>
      <c r="I104" s="37">
        <v>10</v>
      </c>
      <c r="J104" s="37">
        <v>9</v>
      </c>
      <c r="K104" s="19">
        <v>0.39539999999999997</v>
      </c>
      <c r="L104" s="52">
        <v>2878.38</v>
      </c>
      <c r="M104" s="48">
        <v>795.66</v>
      </c>
      <c r="N104" s="48">
        <v>1.25</v>
      </c>
      <c r="O104" s="52">
        <v>3679.73</v>
      </c>
      <c r="P104" s="52">
        <v>1008.05</v>
      </c>
      <c r="Q104" s="52">
        <v>2671.69</v>
      </c>
      <c r="R104" s="48">
        <v>13.2</v>
      </c>
      <c r="S104" s="52">
        <v>2079.87</v>
      </c>
      <c r="T104" s="48">
        <v>866.22</v>
      </c>
      <c r="U104" s="48">
        <v>1.1100000000000001</v>
      </c>
      <c r="V104" s="52">
        <v>4641.1000000000004</v>
      </c>
      <c r="W104" s="48">
        <v>878.49</v>
      </c>
      <c r="X104" s="52">
        <v>3762.61</v>
      </c>
      <c r="Y104" s="48">
        <v>9.9499999999999993</v>
      </c>
      <c r="Z104" s="52">
        <v>2407.59</v>
      </c>
      <c r="AA104" s="48">
        <v>441.41</v>
      </c>
      <c r="AB104" s="48">
        <v>0.56000000000000005</v>
      </c>
      <c r="AC104" s="52">
        <v>4886.1000000000004</v>
      </c>
      <c r="AD104" s="48">
        <v>963.48</v>
      </c>
      <c r="AE104" s="52">
        <v>3922.62</v>
      </c>
      <c r="AF104" s="48">
        <v>5.6</v>
      </c>
      <c r="AG104" s="52">
        <v>2492.92</v>
      </c>
      <c r="AH104" s="48">
        <v>393.59</v>
      </c>
      <c r="AI104" s="48">
        <v>0.51</v>
      </c>
      <c r="AJ104" s="52">
        <v>4995.7</v>
      </c>
      <c r="AK104" s="52">
        <v>1010.6</v>
      </c>
      <c r="AL104" s="52">
        <v>3985.1</v>
      </c>
      <c r="AM104" s="48">
        <v>4.0599999999999996</v>
      </c>
    </row>
    <row r="105" spans="1:39">
      <c r="A105" s="38" t="s">
        <v>114</v>
      </c>
      <c r="B105" s="38" t="s">
        <v>49</v>
      </c>
      <c r="C105" s="38" t="s">
        <v>107</v>
      </c>
      <c r="D105" s="39">
        <v>34</v>
      </c>
      <c r="E105" s="41">
        <v>9</v>
      </c>
      <c r="F105" s="41">
        <v>5</v>
      </c>
      <c r="G105" s="41">
        <v>3</v>
      </c>
      <c r="H105" s="41">
        <v>3</v>
      </c>
      <c r="I105" s="41">
        <v>8</v>
      </c>
      <c r="J105" s="41">
        <v>3</v>
      </c>
      <c r="K105" s="40">
        <v>0.76</v>
      </c>
      <c r="L105" s="52">
        <v>530451.37</v>
      </c>
      <c r="M105" s="52">
        <v>32668.14</v>
      </c>
      <c r="N105" s="48">
        <v>15.63</v>
      </c>
      <c r="O105" s="52">
        <v>444580.86</v>
      </c>
      <c r="P105" s="52">
        <v>285923.49</v>
      </c>
      <c r="Q105" s="52">
        <v>156034.29999999999</v>
      </c>
      <c r="R105" s="48">
        <v>56.25</v>
      </c>
      <c r="S105" s="52">
        <v>470582.84</v>
      </c>
      <c r="T105" s="52">
        <v>19443.169999999998</v>
      </c>
      <c r="U105" s="48">
        <v>8.6999999999999993</v>
      </c>
      <c r="V105" s="52">
        <v>419992.7</v>
      </c>
      <c r="W105" s="52">
        <v>251681.01</v>
      </c>
      <c r="X105" s="52">
        <v>165567.76</v>
      </c>
      <c r="Y105" s="48">
        <v>53.75</v>
      </c>
      <c r="Z105" s="52">
        <v>469919.49</v>
      </c>
      <c r="AA105" s="52">
        <v>9958.6299999999992</v>
      </c>
      <c r="AB105" s="48">
        <v>4.46</v>
      </c>
      <c r="AC105" s="52">
        <v>409010.43</v>
      </c>
      <c r="AD105" s="52">
        <v>242825.54</v>
      </c>
      <c r="AE105" s="52">
        <v>163446.32999999999</v>
      </c>
      <c r="AF105" s="48">
        <v>28.25</v>
      </c>
      <c r="AG105" s="52">
        <v>401814.08</v>
      </c>
      <c r="AH105" s="52">
        <v>14584.2</v>
      </c>
      <c r="AI105" s="48">
        <v>6.53</v>
      </c>
      <c r="AJ105" s="52">
        <v>427283.81</v>
      </c>
      <c r="AK105" s="52">
        <v>234252.21</v>
      </c>
      <c r="AL105" s="52">
        <v>171952.73</v>
      </c>
      <c r="AM105" s="48">
        <v>36</v>
      </c>
    </row>
    <row r="106" spans="1:39">
      <c r="A106" s="7" t="s">
        <v>118</v>
      </c>
      <c r="B106" s="7" t="s">
        <v>49</v>
      </c>
      <c r="C106" s="7" t="s">
        <v>107</v>
      </c>
      <c r="D106" s="36">
        <v>30</v>
      </c>
      <c r="E106" s="37">
        <v>2</v>
      </c>
      <c r="F106" s="37">
        <v>3</v>
      </c>
      <c r="G106" s="37">
        <v>7</v>
      </c>
      <c r="H106" s="37">
        <v>10</v>
      </c>
      <c r="I106" s="37">
        <v>7</v>
      </c>
      <c r="J106" s="37">
        <v>9</v>
      </c>
      <c r="K106" s="19">
        <v>0.79959999999999998</v>
      </c>
      <c r="L106" s="52">
        <v>8761.49</v>
      </c>
      <c r="M106" s="48">
        <v>127.34</v>
      </c>
      <c r="N106" s="48">
        <v>0.18</v>
      </c>
      <c r="O106" s="52">
        <v>3703.37</v>
      </c>
      <c r="P106" s="48">
        <v>603.22</v>
      </c>
      <c r="Q106" s="52">
        <v>2316.4899999999998</v>
      </c>
      <c r="R106" s="48">
        <v>6</v>
      </c>
      <c r="S106" s="52">
        <v>8758.06</v>
      </c>
      <c r="T106" s="48">
        <v>119.53</v>
      </c>
      <c r="U106" s="48">
        <v>0.17</v>
      </c>
      <c r="V106" s="52">
        <v>3668.39</v>
      </c>
      <c r="W106" s="48">
        <v>584.29999999999995</v>
      </c>
      <c r="X106" s="52">
        <v>2209.14</v>
      </c>
      <c r="Y106" s="48">
        <v>4.3</v>
      </c>
      <c r="Z106" s="52">
        <v>9155</v>
      </c>
      <c r="AA106" s="48">
        <v>385.19</v>
      </c>
      <c r="AB106" s="48">
        <v>0.55000000000000004</v>
      </c>
      <c r="AC106" s="52">
        <v>4064.92</v>
      </c>
      <c r="AD106" s="48">
        <v>658.47</v>
      </c>
      <c r="AE106" s="52">
        <v>2429.02</v>
      </c>
      <c r="AF106" s="48">
        <v>3.66</v>
      </c>
      <c r="AG106" s="52">
        <v>8161.77</v>
      </c>
      <c r="AH106" s="48">
        <v>65.209999999999994</v>
      </c>
      <c r="AI106" s="48">
        <v>0.09</v>
      </c>
      <c r="AJ106" s="52">
        <v>3651.22</v>
      </c>
      <c r="AK106" s="48">
        <v>519.74</v>
      </c>
      <c r="AL106" s="52">
        <v>2288.92</v>
      </c>
      <c r="AM106" s="48">
        <v>3.02</v>
      </c>
    </row>
    <row r="107" spans="1:39">
      <c r="A107" s="38" t="s">
        <v>117</v>
      </c>
      <c r="B107" s="38" t="s">
        <v>49</v>
      </c>
      <c r="C107" s="38" t="s">
        <v>107</v>
      </c>
      <c r="D107" s="39">
        <v>31</v>
      </c>
      <c r="E107" s="41">
        <v>6</v>
      </c>
      <c r="F107" s="41">
        <v>10</v>
      </c>
      <c r="G107" s="41">
        <v>6</v>
      </c>
      <c r="H107" s="41">
        <v>3</v>
      </c>
      <c r="I107" s="41">
        <v>7</v>
      </c>
      <c r="J107" s="41">
        <v>7</v>
      </c>
      <c r="K107" s="40">
        <v>0.15609999999999999</v>
      </c>
      <c r="L107" s="52">
        <v>25406.65</v>
      </c>
      <c r="M107" s="52">
        <v>5738.68</v>
      </c>
      <c r="N107" s="48">
        <v>1.88</v>
      </c>
      <c r="O107" s="52">
        <v>77664.94</v>
      </c>
      <c r="P107" s="52">
        <v>24873.31</v>
      </c>
      <c r="Q107" s="52">
        <v>48481.22</v>
      </c>
      <c r="R107" s="48">
        <v>16.399999999999999</v>
      </c>
      <c r="S107" s="52">
        <v>31151.84</v>
      </c>
      <c r="T107" s="52">
        <v>5319.2</v>
      </c>
      <c r="U107" s="48">
        <v>1.75</v>
      </c>
      <c r="V107" s="52">
        <v>98902.86</v>
      </c>
      <c r="W107" s="52">
        <v>44225.89</v>
      </c>
      <c r="X107" s="52">
        <v>50184.7</v>
      </c>
      <c r="Y107" s="48">
        <v>14.5</v>
      </c>
      <c r="Z107" s="52">
        <v>26722.89</v>
      </c>
      <c r="AA107" s="52">
        <v>1746.32</v>
      </c>
      <c r="AB107" s="48">
        <v>0.56999999999999995</v>
      </c>
      <c r="AC107" s="52">
        <v>97682.67</v>
      </c>
      <c r="AD107" s="52">
        <v>43193.01</v>
      </c>
      <c r="AE107" s="52">
        <v>49628.94</v>
      </c>
      <c r="AF107" s="48">
        <v>10.8</v>
      </c>
      <c r="AG107" s="52">
        <v>28813.72</v>
      </c>
      <c r="AH107" s="52">
        <v>3026.28</v>
      </c>
      <c r="AI107" s="48">
        <v>0.99</v>
      </c>
      <c r="AJ107" s="52">
        <v>94480.98</v>
      </c>
      <c r="AK107" s="52">
        <v>41034.730000000003</v>
      </c>
      <c r="AL107" s="52">
        <v>48395.8</v>
      </c>
      <c r="AM107" s="48">
        <v>12.6</v>
      </c>
    </row>
    <row r="108" spans="1:39">
      <c r="A108" s="7" t="s">
        <v>119</v>
      </c>
      <c r="B108" s="7" t="s">
        <v>49</v>
      </c>
      <c r="C108" s="7" t="s">
        <v>107</v>
      </c>
      <c r="D108" s="36">
        <v>29</v>
      </c>
      <c r="E108" s="37">
        <v>8</v>
      </c>
      <c r="F108" s="37">
        <v>3</v>
      </c>
      <c r="G108" s="37">
        <v>5</v>
      </c>
      <c r="H108" s="37">
        <v>3</v>
      </c>
      <c r="I108" s="37">
        <v>6</v>
      </c>
      <c r="J108" s="37">
        <v>5</v>
      </c>
      <c r="K108" s="19">
        <v>0.65500000000000003</v>
      </c>
      <c r="L108" s="52">
        <v>5558.2</v>
      </c>
      <c r="M108" s="52">
        <v>2630.06</v>
      </c>
      <c r="N108" s="48">
        <v>0.91</v>
      </c>
      <c r="O108" s="52">
        <v>56160.41</v>
      </c>
      <c r="P108" s="52">
        <v>26884.41</v>
      </c>
      <c r="Q108" s="52">
        <v>29224.880000000001</v>
      </c>
      <c r="R108" s="48">
        <v>10.199999999999999</v>
      </c>
      <c r="S108" s="52">
        <v>5332.97</v>
      </c>
      <c r="T108" s="52">
        <v>1104.04</v>
      </c>
      <c r="U108" s="48">
        <v>0.38</v>
      </c>
      <c r="V108" s="52">
        <v>74239.539999999994</v>
      </c>
      <c r="W108" s="52">
        <v>44627.74</v>
      </c>
      <c r="X108" s="52">
        <v>29558.48</v>
      </c>
      <c r="Y108" s="48">
        <v>8.8000000000000007</v>
      </c>
      <c r="Z108" s="52">
        <v>7130.62</v>
      </c>
      <c r="AA108" s="52">
        <v>1819.39</v>
      </c>
      <c r="AB108" s="48">
        <v>0.61</v>
      </c>
      <c r="AC108" s="52">
        <v>61991.68</v>
      </c>
      <c r="AD108" s="52">
        <v>31065.59</v>
      </c>
      <c r="AE108" s="52">
        <v>30711.16</v>
      </c>
      <c r="AF108" s="48">
        <v>5.55</v>
      </c>
      <c r="AG108" s="52">
        <v>3857.79</v>
      </c>
      <c r="AH108" s="48">
        <v>855.45</v>
      </c>
      <c r="AI108" s="48">
        <v>0.28999999999999998</v>
      </c>
      <c r="AJ108" s="52">
        <v>57575.48</v>
      </c>
      <c r="AK108" s="52">
        <v>29151.63</v>
      </c>
      <c r="AL108" s="52">
        <v>28169.119999999999</v>
      </c>
      <c r="AM108" s="48">
        <v>6.75</v>
      </c>
    </row>
    <row r="109" spans="1:39">
      <c r="A109" s="38" t="s">
        <v>111</v>
      </c>
      <c r="B109" s="38" t="s">
        <v>49</v>
      </c>
      <c r="C109" s="38" t="s">
        <v>107</v>
      </c>
      <c r="D109" s="39">
        <v>35</v>
      </c>
      <c r="E109" s="41">
        <v>2</v>
      </c>
      <c r="F109" s="41">
        <v>5</v>
      </c>
      <c r="G109" s="41">
        <v>5</v>
      </c>
      <c r="H109" s="41">
        <v>10</v>
      </c>
      <c r="I109" s="41">
        <v>6</v>
      </c>
      <c r="J109" s="41">
        <v>5</v>
      </c>
      <c r="K109" s="40">
        <v>1.0012000000000001</v>
      </c>
      <c r="L109" s="52">
        <v>2671.39</v>
      </c>
      <c r="M109" s="48">
        <v>454.14</v>
      </c>
      <c r="N109" s="48">
        <v>0.12</v>
      </c>
      <c r="O109" s="52">
        <v>27645.39</v>
      </c>
      <c r="P109" s="52">
        <v>15023.97</v>
      </c>
      <c r="Q109" s="52">
        <v>12621.42</v>
      </c>
      <c r="R109" s="48">
        <v>4.0999999999999996</v>
      </c>
      <c r="S109" s="52">
        <v>2801.57</v>
      </c>
      <c r="T109" s="52">
        <v>1631.26</v>
      </c>
      <c r="U109" s="48">
        <v>0.43</v>
      </c>
      <c r="V109" s="52">
        <v>29817.11</v>
      </c>
      <c r="W109" s="52">
        <v>16250.38</v>
      </c>
      <c r="X109" s="52">
        <v>13566.72</v>
      </c>
      <c r="Y109" s="48">
        <v>3.94</v>
      </c>
      <c r="Z109" s="52">
        <v>2943.82</v>
      </c>
      <c r="AA109" s="52">
        <v>1118.8599999999999</v>
      </c>
      <c r="AB109" s="48">
        <v>0.28999999999999998</v>
      </c>
      <c r="AC109" s="52">
        <v>31246.76</v>
      </c>
      <c r="AD109" s="52">
        <v>17684.740000000002</v>
      </c>
      <c r="AE109" s="52">
        <v>13562.02</v>
      </c>
      <c r="AF109" s="48">
        <v>4.82</v>
      </c>
      <c r="AG109" s="52">
        <v>3301.77</v>
      </c>
      <c r="AH109" s="52">
        <v>1016.32</v>
      </c>
      <c r="AI109" s="48">
        <v>0.27</v>
      </c>
      <c r="AJ109" s="52">
        <v>31648.21</v>
      </c>
      <c r="AK109" s="52">
        <v>18156.16</v>
      </c>
      <c r="AL109" s="52">
        <v>13492.04</v>
      </c>
      <c r="AM109" s="48">
        <v>4.2</v>
      </c>
    </row>
    <row r="110" spans="1:39">
      <c r="A110" s="7" t="s">
        <v>115</v>
      </c>
      <c r="B110" s="7" t="s">
        <v>49</v>
      </c>
      <c r="C110" s="7" t="s">
        <v>107</v>
      </c>
      <c r="D110" s="36">
        <v>34</v>
      </c>
      <c r="E110" s="37">
        <v>2</v>
      </c>
      <c r="F110" s="37">
        <v>5</v>
      </c>
      <c r="G110" s="37">
        <v>7</v>
      </c>
      <c r="H110" s="37">
        <v>10</v>
      </c>
      <c r="I110" s="37">
        <v>4</v>
      </c>
      <c r="J110" s="37">
        <v>8</v>
      </c>
      <c r="K110" s="19">
        <v>0.18390000000000001</v>
      </c>
      <c r="L110" s="52">
        <v>13418.84</v>
      </c>
      <c r="M110" s="48">
        <v>20.420000000000002</v>
      </c>
      <c r="N110" s="48">
        <v>0.02</v>
      </c>
      <c r="O110" s="52">
        <v>14106.12</v>
      </c>
      <c r="P110" s="52">
        <v>3824.91</v>
      </c>
      <c r="Q110" s="52">
        <v>9715.67</v>
      </c>
      <c r="R110" s="48">
        <v>6.1</v>
      </c>
      <c r="S110" s="52">
        <v>13874.47</v>
      </c>
      <c r="T110" s="48">
        <v>9.8699999999999992</v>
      </c>
      <c r="U110" s="48">
        <v>0.01</v>
      </c>
      <c r="V110" s="52">
        <v>13635.13</v>
      </c>
      <c r="W110" s="52">
        <v>3698.62</v>
      </c>
      <c r="X110" s="52">
        <v>9397.08</v>
      </c>
      <c r="Y110" s="48">
        <v>4.16</v>
      </c>
      <c r="Z110" s="52">
        <v>22282.63</v>
      </c>
      <c r="AA110" s="48">
        <v>215.07</v>
      </c>
      <c r="AB110" s="48">
        <v>0.15</v>
      </c>
      <c r="AC110" s="52">
        <v>13728.46</v>
      </c>
      <c r="AD110" s="52">
        <v>4368.13</v>
      </c>
      <c r="AE110" s="52">
        <v>9303.35</v>
      </c>
      <c r="AF110" s="48">
        <v>4.46</v>
      </c>
      <c r="AG110" s="52">
        <v>17873.009999999998</v>
      </c>
      <c r="AH110" s="48">
        <v>282.7</v>
      </c>
      <c r="AI110" s="48">
        <v>0.2</v>
      </c>
      <c r="AJ110" s="52">
        <v>12681.72</v>
      </c>
      <c r="AK110" s="52">
        <v>3339.03</v>
      </c>
      <c r="AL110" s="52">
        <v>9288.1299999999992</v>
      </c>
      <c r="AM110" s="48">
        <v>2.8</v>
      </c>
    </row>
    <row r="111" spans="1:39">
      <c r="A111" s="38" t="s">
        <v>121</v>
      </c>
      <c r="B111" s="38" t="s">
        <v>49</v>
      </c>
      <c r="C111" s="38" t="s">
        <v>107</v>
      </c>
      <c r="D111" s="39">
        <v>25</v>
      </c>
      <c r="E111" s="41">
        <v>6</v>
      </c>
      <c r="F111" s="41">
        <v>3</v>
      </c>
      <c r="G111" s="41">
        <v>3</v>
      </c>
      <c r="H111" s="41">
        <v>3</v>
      </c>
      <c r="I111" s="41">
        <v>4</v>
      </c>
      <c r="J111" s="41">
        <v>3</v>
      </c>
      <c r="K111" s="40">
        <v>0.83740000000000003</v>
      </c>
      <c r="L111" s="52">
        <v>63247.16</v>
      </c>
      <c r="M111" s="52">
        <v>-1244.08</v>
      </c>
      <c r="N111" s="48">
        <v>-0.63</v>
      </c>
      <c r="O111" s="52">
        <v>170650.72</v>
      </c>
      <c r="P111" s="52">
        <v>128483.05</v>
      </c>
      <c r="Q111" s="52">
        <v>29727.56</v>
      </c>
      <c r="R111" s="48">
        <v>39.75</v>
      </c>
      <c r="S111" s="52">
        <v>58228.53</v>
      </c>
      <c r="T111" s="52">
        <v>1884.6</v>
      </c>
      <c r="U111" s="48">
        <v>0.44</v>
      </c>
      <c r="V111" s="52">
        <v>177036.31</v>
      </c>
      <c r="W111" s="52">
        <v>124333.56</v>
      </c>
      <c r="X111" s="52">
        <v>38128.07</v>
      </c>
      <c r="Y111" s="48">
        <v>27.25</v>
      </c>
      <c r="Z111" s="52">
        <v>57023.199999999997</v>
      </c>
      <c r="AA111" s="52">
        <v>1556.87</v>
      </c>
      <c r="AB111" s="48">
        <v>0.26</v>
      </c>
      <c r="AC111" s="52">
        <v>180900.72</v>
      </c>
      <c r="AD111" s="52">
        <v>129229.21</v>
      </c>
      <c r="AE111" s="52">
        <v>36086.18</v>
      </c>
      <c r="AF111" s="48">
        <v>19.5</v>
      </c>
      <c r="AG111" s="52">
        <v>56683.95</v>
      </c>
      <c r="AH111" s="52">
        <v>1675.49</v>
      </c>
      <c r="AI111" s="48">
        <v>0.28999999999999998</v>
      </c>
      <c r="AJ111" s="52">
        <v>183046.04</v>
      </c>
      <c r="AK111" s="52">
        <v>133686</v>
      </c>
      <c r="AL111" s="52">
        <v>33436.47</v>
      </c>
      <c r="AM111" s="48">
        <v>14.1</v>
      </c>
    </row>
    <row r="112" spans="1:39">
      <c r="A112" s="7" t="s">
        <v>120</v>
      </c>
      <c r="B112" s="7" t="s">
        <v>49</v>
      </c>
      <c r="C112" s="7" t="s">
        <v>107</v>
      </c>
      <c r="D112" s="36">
        <v>29</v>
      </c>
      <c r="E112" s="37">
        <v>2</v>
      </c>
      <c r="F112" s="37">
        <v>3</v>
      </c>
      <c r="G112" s="37">
        <v>5</v>
      </c>
      <c r="H112" s="37">
        <v>3</v>
      </c>
      <c r="I112" s="37">
        <v>4</v>
      </c>
      <c r="J112" s="37">
        <v>5</v>
      </c>
      <c r="K112" s="19">
        <v>2.8767</v>
      </c>
      <c r="L112" s="52">
        <v>4366.6400000000003</v>
      </c>
      <c r="M112" s="48">
        <v>704.61</v>
      </c>
      <c r="N112" s="48">
        <v>0.42</v>
      </c>
      <c r="O112" s="52">
        <v>25097.79</v>
      </c>
      <c r="P112" s="52">
        <v>13530.13</v>
      </c>
      <c r="Q112" s="52">
        <v>11414.42</v>
      </c>
      <c r="R112" s="48">
        <v>5.3</v>
      </c>
      <c r="S112" s="52">
        <v>4352.72</v>
      </c>
      <c r="T112" s="48">
        <v>311.12</v>
      </c>
      <c r="U112" s="48">
        <v>0.19</v>
      </c>
      <c r="V112" s="52">
        <v>29076.66</v>
      </c>
      <c r="W112" s="52">
        <v>17438.310000000001</v>
      </c>
      <c r="X112" s="52">
        <v>11492.62</v>
      </c>
      <c r="Y112" s="48">
        <v>4.18</v>
      </c>
      <c r="Z112" s="52">
        <v>4172.6899999999996</v>
      </c>
      <c r="AA112" s="48">
        <v>46.61</v>
      </c>
      <c r="AB112" s="48">
        <v>0.03</v>
      </c>
      <c r="AC112" s="52">
        <v>29574.1</v>
      </c>
      <c r="AD112" s="52">
        <v>18005.2</v>
      </c>
      <c r="AE112" s="52">
        <v>11430.66</v>
      </c>
      <c r="AF112" s="48">
        <v>2.74</v>
      </c>
      <c r="AG112" s="52">
        <v>3607.02</v>
      </c>
      <c r="AH112" s="48">
        <v>9.5</v>
      </c>
      <c r="AI112" s="48">
        <v>0.01</v>
      </c>
      <c r="AJ112" s="52">
        <v>27792.560000000001</v>
      </c>
      <c r="AK112" s="52">
        <v>16242</v>
      </c>
      <c r="AL112" s="52">
        <v>11420.1</v>
      </c>
      <c r="AM112" s="48">
        <v>1.98</v>
      </c>
    </row>
    <row r="113" spans="1:39">
      <c r="A113" s="38" t="s">
        <v>112</v>
      </c>
      <c r="B113" s="38" t="s">
        <v>49</v>
      </c>
      <c r="C113" s="38" t="s">
        <v>107</v>
      </c>
      <c r="D113" s="39">
        <v>35</v>
      </c>
      <c r="E113" s="41">
        <v>10</v>
      </c>
      <c r="F113" s="41">
        <v>5</v>
      </c>
      <c r="G113" s="41">
        <v>3</v>
      </c>
      <c r="H113" s="41">
        <v>3</v>
      </c>
      <c r="I113" s="41">
        <v>8</v>
      </c>
      <c r="J113" s="41">
        <v>3</v>
      </c>
      <c r="K113" s="40">
        <v>1.3249</v>
      </c>
      <c r="L113" s="52">
        <v>3520.15</v>
      </c>
      <c r="M113" s="52">
        <v>1301.78</v>
      </c>
      <c r="N113" s="48">
        <v>1.05</v>
      </c>
      <c r="O113" s="52">
        <v>21292.05</v>
      </c>
      <c r="P113" s="52">
        <v>13015.03</v>
      </c>
      <c r="Q113" s="52">
        <v>7775.72</v>
      </c>
      <c r="R113" s="48">
        <v>10</v>
      </c>
      <c r="S113" s="52">
        <v>3157.74</v>
      </c>
      <c r="T113" s="48">
        <v>812.35</v>
      </c>
      <c r="U113" s="48">
        <v>0.59</v>
      </c>
      <c r="V113" s="52">
        <v>21067.13</v>
      </c>
      <c r="W113" s="52">
        <v>12600.27</v>
      </c>
      <c r="X113" s="52">
        <v>8033.81</v>
      </c>
      <c r="Y113" s="48">
        <v>8</v>
      </c>
      <c r="Z113" s="52">
        <v>3539.18</v>
      </c>
      <c r="AA113" s="48">
        <v>754.39</v>
      </c>
      <c r="AB113" s="48">
        <v>0.57999999999999996</v>
      </c>
      <c r="AC113" s="52">
        <v>24690.02</v>
      </c>
      <c r="AD113" s="52">
        <v>16589.560000000001</v>
      </c>
      <c r="AE113" s="52">
        <v>7652.85</v>
      </c>
      <c r="AF113" s="48">
        <v>5.5</v>
      </c>
      <c r="AG113" s="52">
        <v>3282.73</v>
      </c>
      <c r="AH113" s="48">
        <v>562.30999999999995</v>
      </c>
      <c r="AI113" s="48">
        <v>0.45</v>
      </c>
      <c r="AJ113" s="52">
        <v>27003.84</v>
      </c>
      <c r="AK113" s="52">
        <v>19056.5</v>
      </c>
      <c r="AL113" s="52">
        <v>7568.39</v>
      </c>
      <c r="AM113" s="48">
        <v>3.24</v>
      </c>
    </row>
    <row r="114" spans="1:39">
      <c r="A114" s="7" t="s">
        <v>108</v>
      </c>
      <c r="B114" s="7" t="s">
        <v>49</v>
      </c>
      <c r="C114" s="7" t="s">
        <v>107</v>
      </c>
      <c r="D114" s="36">
        <v>42</v>
      </c>
      <c r="E114" s="37">
        <v>8</v>
      </c>
      <c r="F114" s="37">
        <v>3</v>
      </c>
      <c r="G114" s="37">
        <v>5</v>
      </c>
      <c r="H114" s="37">
        <v>3</v>
      </c>
      <c r="I114" s="37">
        <v>8</v>
      </c>
      <c r="J114" s="37">
        <v>5</v>
      </c>
      <c r="K114" s="19">
        <v>0.51529999999999998</v>
      </c>
      <c r="L114" s="52">
        <v>7566.35</v>
      </c>
      <c r="M114" s="52">
        <v>3010.52</v>
      </c>
      <c r="N114" s="48">
        <v>0.34</v>
      </c>
      <c r="O114" s="52">
        <v>32331.46</v>
      </c>
      <c r="P114" s="52">
        <v>18191.72</v>
      </c>
      <c r="Q114" s="52">
        <v>14077</v>
      </c>
      <c r="R114" s="48">
        <v>5.25</v>
      </c>
      <c r="S114" s="52">
        <v>7737.13</v>
      </c>
      <c r="T114" s="52">
        <v>1474.47</v>
      </c>
      <c r="U114" s="48">
        <v>0.17</v>
      </c>
      <c r="V114" s="52">
        <v>32850.339999999997</v>
      </c>
      <c r="W114" s="52">
        <v>18859.88</v>
      </c>
      <c r="X114" s="52">
        <v>13932.79</v>
      </c>
      <c r="Y114" s="48">
        <v>2.8</v>
      </c>
      <c r="Z114" s="52">
        <v>9594.4</v>
      </c>
      <c r="AA114" s="52">
        <v>1660.83</v>
      </c>
      <c r="AB114" s="48">
        <v>0.19</v>
      </c>
      <c r="AC114" s="52">
        <v>32704.22</v>
      </c>
      <c r="AD114" s="52">
        <v>18824.28</v>
      </c>
      <c r="AE114" s="52">
        <v>13829.73</v>
      </c>
      <c r="AF114" s="48">
        <v>2.2799999999999998</v>
      </c>
      <c r="AG114" s="52">
        <v>8468.24</v>
      </c>
      <c r="AH114" s="52">
        <v>1768.71</v>
      </c>
      <c r="AI114" s="48">
        <v>0.2</v>
      </c>
      <c r="AJ114" s="52">
        <v>31543.78</v>
      </c>
      <c r="AK114" s="52">
        <v>17424.95</v>
      </c>
      <c r="AL114" s="52">
        <v>14117.81</v>
      </c>
      <c r="AM114" s="48">
        <v>1.9</v>
      </c>
    </row>
    <row r="115" spans="1:39">
      <c r="A115" s="38" t="s">
        <v>106</v>
      </c>
      <c r="B115" s="38" t="s">
        <v>49</v>
      </c>
      <c r="C115" s="38" t="s">
        <v>107</v>
      </c>
      <c r="D115" s="39">
        <v>43</v>
      </c>
      <c r="E115" s="41">
        <v>9</v>
      </c>
      <c r="F115" s="41">
        <v>8</v>
      </c>
      <c r="G115" s="41">
        <v>3</v>
      </c>
      <c r="H115" s="41">
        <v>3</v>
      </c>
      <c r="I115" s="41">
        <v>6</v>
      </c>
      <c r="J115" s="41">
        <v>5</v>
      </c>
      <c r="K115" s="40">
        <v>0.98099999999999998</v>
      </c>
      <c r="L115" s="52">
        <v>11441.87</v>
      </c>
      <c r="M115" s="52">
        <v>2436.1799999999998</v>
      </c>
      <c r="N115" s="48">
        <v>0.3</v>
      </c>
      <c r="O115" s="52">
        <v>69846.080000000002</v>
      </c>
      <c r="P115" s="52">
        <v>31906.65</v>
      </c>
      <c r="Q115" s="52">
        <v>26549.83</v>
      </c>
      <c r="R115" s="48">
        <v>4.5599999999999996</v>
      </c>
      <c r="S115" s="52">
        <v>10946.59</v>
      </c>
      <c r="T115" s="52">
        <v>1462.11</v>
      </c>
      <c r="U115" s="48">
        <v>0.18</v>
      </c>
      <c r="V115" s="52">
        <v>68765.279999999999</v>
      </c>
      <c r="W115" s="52">
        <v>29847.33</v>
      </c>
      <c r="X115" s="52">
        <v>27264.46</v>
      </c>
      <c r="Y115" s="48">
        <v>3.26</v>
      </c>
      <c r="Z115" s="52">
        <v>10788.85</v>
      </c>
      <c r="AA115" s="52">
        <v>1344.54</v>
      </c>
      <c r="AB115" s="48">
        <v>0.17</v>
      </c>
      <c r="AC115" s="52">
        <v>72264.77</v>
      </c>
      <c r="AD115" s="52">
        <v>32131.57</v>
      </c>
      <c r="AE115" s="52">
        <v>28056.54</v>
      </c>
      <c r="AF115" s="48">
        <v>3.2</v>
      </c>
      <c r="AG115" s="52">
        <v>10638.48</v>
      </c>
      <c r="AH115" s="52">
        <v>2781.82</v>
      </c>
      <c r="AI115" s="48">
        <v>0.34</v>
      </c>
      <c r="AJ115" s="52">
        <v>76817.570000000007</v>
      </c>
      <c r="AK115" s="52">
        <v>33739.81</v>
      </c>
      <c r="AL115" s="52">
        <v>30606.5</v>
      </c>
      <c r="AM115" s="48">
        <v>2.42</v>
      </c>
    </row>
    <row r="116" spans="1:39">
      <c r="A116" s="7" t="s">
        <v>109</v>
      </c>
      <c r="B116" s="7" t="s">
        <v>49</v>
      </c>
      <c r="C116" s="7" t="s">
        <v>107</v>
      </c>
      <c r="D116" s="36">
        <v>38</v>
      </c>
      <c r="E116" s="37">
        <v>7</v>
      </c>
      <c r="F116" s="37">
        <v>9</v>
      </c>
      <c r="G116" s="37">
        <v>5</v>
      </c>
      <c r="H116" s="37">
        <v>3</v>
      </c>
      <c r="I116" s="37">
        <v>7</v>
      </c>
      <c r="J116" s="37">
        <v>5</v>
      </c>
      <c r="K116" s="19">
        <v>0.5444</v>
      </c>
      <c r="L116" s="52">
        <v>793418.23999999999</v>
      </c>
      <c r="M116" s="52">
        <v>10370.4</v>
      </c>
      <c r="N116" s="48">
        <v>0.86</v>
      </c>
      <c r="O116" s="52">
        <v>225504.39</v>
      </c>
      <c r="P116" s="52">
        <v>121743.57</v>
      </c>
      <c r="Q116" s="52">
        <v>103701.08</v>
      </c>
      <c r="R116" s="48">
        <v>23.8</v>
      </c>
      <c r="S116" s="52">
        <v>774423.18</v>
      </c>
      <c r="T116" s="52">
        <v>11094.07</v>
      </c>
      <c r="U116" s="48">
        <v>0.92</v>
      </c>
      <c r="V116" s="52">
        <v>220235.59</v>
      </c>
      <c r="W116" s="52">
        <v>110727.81</v>
      </c>
      <c r="X116" s="52">
        <v>109442.85</v>
      </c>
      <c r="Y116" s="48">
        <v>19.100000000000001</v>
      </c>
      <c r="Z116" s="52">
        <v>726658.54</v>
      </c>
      <c r="AA116" s="52">
        <v>7650.31</v>
      </c>
      <c r="AB116" s="48">
        <v>0.64</v>
      </c>
      <c r="AC116" s="52">
        <v>207492.02</v>
      </c>
      <c r="AD116" s="52">
        <v>98531.04</v>
      </c>
      <c r="AE116" s="52">
        <v>108897.25</v>
      </c>
      <c r="AF116" s="48">
        <v>13.3</v>
      </c>
      <c r="AG116" s="52">
        <v>660890.5</v>
      </c>
      <c r="AH116" s="52">
        <v>11303.57</v>
      </c>
      <c r="AI116" s="48">
        <v>0.94</v>
      </c>
      <c r="AJ116" s="52">
        <v>197931.41</v>
      </c>
      <c r="AK116" s="52">
        <v>84110.46</v>
      </c>
      <c r="AL116" s="52">
        <v>113757.58</v>
      </c>
      <c r="AM116" s="48">
        <v>13.3</v>
      </c>
    </row>
    <row r="117" spans="1:39">
      <c r="A117" s="38" t="s">
        <v>110</v>
      </c>
      <c r="B117" s="38" t="s">
        <v>49</v>
      </c>
      <c r="C117" s="38" t="s">
        <v>107</v>
      </c>
      <c r="D117" s="39">
        <v>37</v>
      </c>
      <c r="E117" s="41">
        <v>6</v>
      </c>
      <c r="F117" s="41">
        <v>9</v>
      </c>
      <c r="G117" s="41">
        <v>9</v>
      </c>
      <c r="H117" s="41">
        <v>3</v>
      </c>
      <c r="I117" s="41">
        <v>7</v>
      </c>
      <c r="J117" s="41">
        <v>10</v>
      </c>
      <c r="K117" s="40">
        <v>4.0143000000000004</v>
      </c>
      <c r="L117" s="52">
        <v>4471.25</v>
      </c>
      <c r="M117" s="52">
        <v>2320.48</v>
      </c>
      <c r="N117" s="48">
        <v>2.2000000000000002</v>
      </c>
      <c r="O117" s="52">
        <v>23718.16</v>
      </c>
      <c r="P117" s="52">
        <v>2744.3</v>
      </c>
      <c r="Q117" s="52">
        <v>18267.52</v>
      </c>
      <c r="R117" s="48">
        <v>14.5</v>
      </c>
      <c r="S117" s="52">
        <v>4218.79</v>
      </c>
      <c r="T117" s="52">
        <v>1837.97</v>
      </c>
      <c r="U117" s="48">
        <v>1.74</v>
      </c>
      <c r="V117" s="52">
        <v>23896.89</v>
      </c>
      <c r="W117" s="52">
        <v>2048.4899999999998</v>
      </c>
      <c r="X117" s="52">
        <v>19136.009999999998</v>
      </c>
      <c r="Y117" s="48">
        <v>12.4</v>
      </c>
      <c r="Z117" s="52">
        <v>2166.64</v>
      </c>
      <c r="AA117" s="48">
        <v>682.51</v>
      </c>
      <c r="AB117" s="48">
        <v>0.65</v>
      </c>
      <c r="AC117" s="52">
        <v>21419.48</v>
      </c>
      <c r="AD117" s="48">
        <v>238.99</v>
      </c>
      <c r="AE117" s="52">
        <v>18542.25</v>
      </c>
      <c r="AF117" s="48">
        <v>8.4499999999999993</v>
      </c>
      <c r="AG117" s="52">
        <v>1796.6</v>
      </c>
      <c r="AH117" s="48">
        <v>378.34</v>
      </c>
      <c r="AI117" s="48">
        <v>0.36</v>
      </c>
      <c r="AJ117" s="52">
        <v>19111.05</v>
      </c>
      <c r="AK117" s="48">
        <v>428.37</v>
      </c>
      <c r="AL117" s="52">
        <v>16170.8</v>
      </c>
      <c r="AM117" s="48">
        <v>9.3000000000000007</v>
      </c>
    </row>
    <row r="118" spans="1:39">
      <c r="A118" s="7" t="s">
        <v>116</v>
      </c>
      <c r="B118" s="7" t="s">
        <v>49</v>
      </c>
      <c r="C118" s="7" t="s">
        <v>107</v>
      </c>
      <c r="D118" s="36">
        <v>32</v>
      </c>
      <c r="E118" s="37">
        <v>4</v>
      </c>
      <c r="F118" s="37">
        <v>10</v>
      </c>
      <c r="G118" s="37">
        <v>3</v>
      </c>
      <c r="H118" s="37">
        <v>9</v>
      </c>
      <c r="I118" s="37">
        <v>7</v>
      </c>
      <c r="J118" s="37">
        <v>3</v>
      </c>
      <c r="K118" s="19">
        <v>0.53680000000000005</v>
      </c>
      <c r="L118" s="52">
        <v>15531.58</v>
      </c>
      <c r="M118" s="48">
        <v>119.19</v>
      </c>
      <c r="N118" s="48">
        <v>0.23</v>
      </c>
      <c r="O118" s="52">
        <v>7022.44</v>
      </c>
      <c r="P118" s="52">
        <v>5661.14</v>
      </c>
      <c r="Q118" s="52">
        <v>1350.55</v>
      </c>
      <c r="R118" s="48">
        <v>4.5</v>
      </c>
      <c r="S118" s="52">
        <v>18183.97</v>
      </c>
      <c r="T118" s="48">
        <v>125.45</v>
      </c>
      <c r="U118" s="48">
        <v>0.24</v>
      </c>
      <c r="V118" s="52">
        <v>7178.29</v>
      </c>
      <c r="W118" s="52">
        <v>5856.95</v>
      </c>
      <c r="X118" s="52">
        <v>1313.77</v>
      </c>
      <c r="Y118" s="48">
        <v>3.88</v>
      </c>
      <c r="Z118" s="52">
        <v>19021.96</v>
      </c>
      <c r="AA118" s="48">
        <v>143.72999999999999</v>
      </c>
      <c r="AB118" s="48">
        <v>0.28000000000000003</v>
      </c>
      <c r="AC118" s="52">
        <v>6907.56</v>
      </c>
      <c r="AD118" s="52">
        <v>5588.29</v>
      </c>
      <c r="AE118" s="52">
        <v>1313.03</v>
      </c>
      <c r="AF118" s="48">
        <v>3.48</v>
      </c>
      <c r="AG118" s="52">
        <v>17546.169999999998</v>
      </c>
      <c r="AH118" s="48">
        <v>154.18</v>
      </c>
      <c r="AI118" s="48">
        <v>0.3</v>
      </c>
      <c r="AJ118" s="52">
        <v>6807.31</v>
      </c>
      <c r="AK118" s="52">
        <v>5515.36</v>
      </c>
      <c r="AL118" s="52">
        <v>1292.08</v>
      </c>
      <c r="AM118" s="48">
        <v>3.78</v>
      </c>
    </row>
    <row r="119" spans="1:39">
      <c r="A119" s="38" t="s">
        <v>113</v>
      </c>
      <c r="B119" s="38" t="s">
        <v>49</v>
      </c>
      <c r="C119" s="38" t="s">
        <v>107</v>
      </c>
      <c r="D119" s="39">
        <v>35</v>
      </c>
      <c r="E119" s="41">
        <v>8</v>
      </c>
      <c r="F119" s="41">
        <v>5</v>
      </c>
      <c r="G119" s="41">
        <v>3</v>
      </c>
      <c r="H119" s="41">
        <v>8</v>
      </c>
      <c r="I119" s="41">
        <v>7</v>
      </c>
      <c r="J119" s="41">
        <v>3</v>
      </c>
      <c r="K119" s="40">
        <v>0.70979999999999999</v>
      </c>
      <c r="L119" s="52">
        <v>179785.88</v>
      </c>
      <c r="M119" s="48">
        <v>934.08</v>
      </c>
      <c r="N119" s="48">
        <v>0.56000000000000005</v>
      </c>
      <c r="O119" s="52">
        <v>45134.87</v>
      </c>
      <c r="P119" s="52">
        <v>36859.78</v>
      </c>
      <c r="Q119" s="52">
        <v>8151.3</v>
      </c>
      <c r="R119" s="48">
        <v>14.5</v>
      </c>
      <c r="S119" s="52">
        <v>199224.29</v>
      </c>
      <c r="T119" s="48">
        <v>944.06</v>
      </c>
      <c r="U119" s="48">
        <v>0.56999999999999995</v>
      </c>
      <c r="V119" s="52">
        <v>46931.86</v>
      </c>
      <c r="W119" s="52">
        <v>38006.080000000002</v>
      </c>
      <c r="X119" s="52">
        <v>8780.33</v>
      </c>
      <c r="Y119" s="48">
        <v>8.75</v>
      </c>
      <c r="Z119" s="52">
        <v>226383.2</v>
      </c>
      <c r="AA119" s="52">
        <v>1021.8</v>
      </c>
      <c r="AB119" s="48">
        <v>0.61</v>
      </c>
      <c r="AC119" s="52">
        <v>51752.41</v>
      </c>
      <c r="AD119" s="52">
        <v>42470.47</v>
      </c>
      <c r="AE119" s="52">
        <v>9048.51</v>
      </c>
      <c r="AF119" s="48">
        <v>8.1999999999999993</v>
      </c>
      <c r="AG119" s="52">
        <v>224917.81</v>
      </c>
      <c r="AH119" s="52">
        <v>1021.44</v>
      </c>
      <c r="AI119" s="48">
        <v>0.61</v>
      </c>
      <c r="AJ119" s="52">
        <v>56691.43</v>
      </c>
      <c r="AK119" s="52">
        <v>45593.94</v>
      </c>
      <c r="AL119" s="52">
        <v>10019.969999999999</v>
      </c>
      <c r="AM119" s="48">
        <v>7.1</v>
      </c>
    </row>
    <row r="120" spans="1:39">
      <c r="L120" s="46"/>
      <c r="M120" s="46"/>
      <c r="N120" s="46"/>
      <c r="O120" s="46"/>
      <c r="P120" s="46"/>
      <c r="Q120" s="46"/>
      <c r="R120" s="46"/>
    </row>
    <row r="121" spans="1:39">
      <c r="L121" s="46"/>
      <c r="M121" s="46"/>
      <c r="N121" s="46"/>
      <c r="O121" s="46"/>
      <c r="P121" s="46"/>
      <c r="Q121" s="46"/>
      <c r="R121" s="46"/>
    </row>
    <row r="122" spans="1:39">
      <c r="L122" s="46"/>
      <c r="M122" s="46"/>
      <c r="N122" s="46"/>
      <c r="O122" s="46"/>
      <c r="P122" s="46"/>
      <c r="Q122" s="46"/>
      <c r="R122" s="46"/>
    </row>
    <row r="123" spans="1:39">
      <c r="L123" s="46"/>
      <c r="M123" s="46"/>
      <c r="N123" s="46"/>
      <c r="O123" s="46"/>
      <c r="P123" s="46"/>
      <c r="Q123" s="46"/>
      <c r="R123" s="46"/>
    </row>
    <row r="124" spans="1:39">
      <c r="L124" s="46"/>
      <c r="M124" s="46"/>
      <c r="N124" s="46"/>
      <c r="O124" s="46"/>
      <c r="P124" s="46"/>
      <c r="Q124" s="46"/>
      <c r="R124" s="46"/>
    </row>
    <row r="125" spans="1:39">
      <c r="L125" s="46"/>
    </row>
    <row r="126" spans="1:39">
      <c r="L126" s="46"/>
    </row>
    <row r="127" spans="1:39">
      <c r="L127" s="46"/>
    </row>
    <row r="128" spans="1:39">
      <c r="L128" s="46"/>
    </row>
    <row r="129" spans="12:12">
      <c r="L129" s="46"/>
    </row>
    <row r="130" spans="12:12">
      <c r="L130" s="46"/>
    </row>
    <row r="131" spans="12:12" ht="16.5">
      <c r="L131" s="56"/>
    </row>
    <row r="132" spans="12:12">
      <c r="L132" s="46"/>
    </row>
    <row r="133" spans="12:12">
      <c r="L133" s="4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9261-31CE-45EC-82B0-AE7A6879D7C2}">
  <dimension ref="A1:C12"/>
  <sheetViews>
    <sheetView tabSelected="1" zoomScale="85" zoomScaleNormal="85" workbookViewId="0">
      <selection activeCell="C13" sqref="C13"/>
    </sheetView>
  </sheetViews>
  <sheetFormatPr defaultRowHeight="14.5"/>
  <cols>
    <col min="2" max="2" width="32" customWidth="1"/>
    <col min="3" max="3" width="46.7265625" customWidth="1"/>
    <col min="5" max="5" width="15.453125" customWidth="1"/>
    <col min="6" max="6" width="8" customWidth="1"/>
    <col min="7" max="7" width="7.08984375" customWidth="1"/>
  </cols>
  <sheetData>
    <row r="1" spans="1:3">
      <c r="A1" s="77" t="s">
        <v>290</v>
      </c>
      <c r="B1" s="77"/>
      <c r="C1" s="78" t="s">
        <v>297</v>
      </c>
    </row>
    <row r="2" spans="1:3">
      <c r="A2" s="79" t="s">
        <v>295</v>
      </c>
      <c r="B2" s="80"/>
      <c r="C2" s="81" t="s">
        <v>254</v>
      </c>
    </row>
    <row r="3" spans="1:3" ht="29" customHeight="1">
      <c r="A3" s="79" t="s">
        <v>296</v>
      </c>
      <c r="B3" s="80"/>
      <c r="C3" s="81" t="s">
        <v>255</v>
      </c>
    </row>
    <row r="4" spans="1:3">
      <c r="A4" s="79" t="s">
        <v>294</v>
      </c>
      <c r="B4" s="80"/>
      <c r="C4" s="81" t="s">
        <v>256</v>
      </c>
    </row>
    <row r="5" spans="1:3">
      <c r="A5" s="79" t="s">
        <v>291</v>
      </c>
      <c r="B5" s="80"/>
      <c r="C5" s="82" t="s">
        <v>257</v>
      </c>
    </row>
    <row r="6" spans="1:3" ht="23" customHeight="1">
      <c r="A6" s="79" t="s">
        <v>292</v>
      </c>
      <c r="B6" s="80"/>
      <c r="C6" s="83" t="s">
        <v>258</v>
      </c>
    </row>
    <row r="7" spans="1:3">
      <c r="A7" s="79" t="s">
        <v>293</v>
      </c>
      <c r="B7" s="80"/>
      <c r="C7" s="83" t="s">
        <v>259</v>
      </c>
    </row>
    <row r="8" spans="1:3">
      <c r="A8" s="79" t="s">
        <v>298</v>
      </c>
      <c r="B8" s="80"/>
      <c r="C8" s="83" t="s">
        <v>260</v>
      </c>
    </row>
    <row r="9" spans="1:3">
      <c r="A9" s="76"/>
      <c r="B9" s="76"/>
    </row>
    <row r="12" spans="1:3" ht="49" customHeight="1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สรุปผล</vt:lpstr>
      <vt:lpstr>คะแนนpredict68</vt:lpstr>
      <vt:lpstr>Historical Trends</vt:lpstr>
      <vt:lpstr>ข้อมูล65-68</vt:lpstr>
      <vt:lpstr>F1-F7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KHWANCHANOK CHATCHAWARAT</cp:lastModifiedBy>
  <dcterms:created xsi:type="dcterms:W3CDTF">2026-08-06T11:57:46Z</dcterms:created>
  <dcterms:modified xsi:type="dcterms:W3CDTF">2026-08-09T05:14:09Z</dcterms:modified>
</cp:coreProperties>
</file>